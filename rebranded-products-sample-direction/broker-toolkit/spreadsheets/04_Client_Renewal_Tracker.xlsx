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ewal Tracker" sheetId="1" state="visible" r:id="rId3"/>
    <sheet name="Dashboard" sheetId="2" state="visible" r:id="rId4"/>
    <sheet name="How To 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<sst xmlns="http://schemas.openxmlformats.org/spreadsheetml/2006/main" count="123" uniqueCount="95">
  <si>
    <t xml:space="preserve">CLIENT RENEWAL TRACKER</t>
  </si>
  <si>
    <t xml:space="preserve">Healthcare Broker Solo Toolkit  |  Update renewal dates, premiums, and follow-up status regularly</t>
  </si>
  <si>
    <t xml:space="preserve">🔴 Renews ≤30 days</t>
  </si>
  <si>
    <t xml:space="preserve">🟡 Renews 31–60 days</t>
  </si>
  <si>
    <t xml:space="preserve">🟢 Renews 61–90 days</t>
  </si>
  <si>
    <t xml:space="preserve">⚪ Renews &gt;90 days</t>
  </si>
  <si>
    <t xml:space="preserve">#</t>
  </si>
  <si>
    <t xml:space="preserve">Client / Business Name</t>
  </si>
  <si>
    <t xml:space="preserve">Contact Name</t>
  </si>
  <si>
    <t xml:space="preserve">Phone</t>
  </si>
  <si>
    <t xml:space="preserve">Email</t>
  </si>
  <si>
    <t xml:space="preserve">Carrier</t>
  </si>
  <si>
    <t xml:space="preserve">Plan Type</t>
  </si>
  <si>
    <t xml:space="preserve"># Employees</t>
  </si>
  <si>
    <t xml:space="preserve">Annual Premium ($)</t>
  </si>
  <si>
    <t xml:space="preserve">Renewal Date</t>
  </si>
  <si>
    <t xml:space="preserve">Days Until Renewal</t>
  </si>
  <si>
    <t xml:space="preserve">Status</t>
  </si>
  <si>
    <t xml:space="preserve">Last Contact</t>
  </si>
  <si>
    <t xml:space="preserve">Next Action</t>
  </si>
  <si>
    <t xml:space="preserve">Notes</t>
  </si>
  <si>
    <t xml:space="preserve">Metro Plumbing Co.</t>
  </si>
  <si>
    <t xml:space="preserve">Dave Torres</t>
  </si>
  <si>
    <t xml:space="preserve">312-555-0101</t>
  </si>
  <si>
    <t xml:space="preserve">dave@metroplumbing.com</t>
  </si>
  <si>
    <t xml:space="preserve">Blue Cross</t>
  </si>
  <si>
    <t xml:space="preserve">PPO</t>
  </si>
  <si>
    <t xml:space="preserve">Active</t>
  </si>
  <si>
    <t xml:space="preserve">Schedule renewal review call</t>
  </si>
  <si>
    <t xml:space="preserve">Riverside Dental Group</t>
  </si>
  <si>
    <t xml:space="preserve">Sarah Kim</t>
  </si>
  <si>
    <t xml:space="preserve">630-555-0202</t>
  </si>
  <si>
    <t xml:space="preserve">skim@riversidedental.com</t>
  </si>
  <si>
    <t xml:space="preserve">Aetna</t>
  </si>
  <si>
    <t xml:space="preserve">HMO</t>
  </si>
  <si>
    <t xml:space="preserve">Lakeside Auto Repair</t>
  </si>
  <si>
    <t xml:space="preserve">Mike Chen</t>
  </si>
  <si>
    <t xml:space="preserve">708-555-0303</t>
  </si>
  <si>
    <t xml:space="preserve">mchen@lakesideauto.com</t>
  </si>
  <si>
    <t xml:space="preserve">UnitedHealth</t>
  </si>
  <si>
    <t xml:space="preserve">HDHP</t>
  </si>
  <si>
    <t xml:space="preserve">Pending Review</t>
  </si>
  <si>
    <t xml:space="preserve">Summit Legal Partners</t>
  </si>
  <si>
    <t xml:space="preserve">Jessica Brooks</t>
  </si>
  <si>
    <t xml:space="preserve">312-555-0404</t>
  </si>
  <si>
    <t xml:space="preserve">jbrooks@summitlegal.com</t>
  </si>
  <si>
    <t xml:space="preserve">Cigna</t>
  </si>
  <si>
    <t xml:space="preserve">Apex Roofing LLC</t>
  </si>
  <si>
    <t xml:space="preserve">Tom Russo</t>
  </si>
  <si>
    <t xml:space="preserve">847-555-0505</t>
  </si>
  <si>
    <t xml:space="preserve">trusso@apexroofing.com</t>
  </si>
  <si>
    <t xml:space="preserve">Greenview Landscaping</t>
  </si>
  <si>
    <t xml:space="preserve">Priya Patel</t>
  </si>
  <si>
    <t xml:space="preserve">630-555-0606</t>
  </si>
  <si>
    <t xml:space="preserve">ppatel@greenview.com</t>
  </si>
  <si>
    <t xml:space="preserve">Humana</t>
  </si>
  <si>
    <t xml:space="preserve">Northside Chiro Clinic</t>
  </si>
  <si>
    <t xml:space="preserve">Dr. Adam Lee</t>
  </si>
  <si>
    <t xml:space="preserve">773-555-0707</t>
  </si>
  <si>
    <t xml:space="preserve">alee@northsidechiro.com</t>
  </si>
  <si>
    <t xml:space="preserve">Renewal Sent</t>
  </si>
  <si>
    <t xml:space="preserve">Brightway Tech Solutions</t>
  </si>
  <si>
    <t xml:space="preserve">Chris Murphy</t>
  </si>
  <si>
    <t xml:space="preserve">312-555-0808</t>
  </si>
  <si>
    <t xml:space="preserve">cmurphy@brightway.com</t>
  </si>
  <si>
    <t xml:space="preserve">Harbor View Restaurant Group</t>
  </si>
  <si>
    <t xml:space="preserve">Linda Yoo</t>
  </si>
  <si>
    <t xml:space="preserve">708-555-0909</t>
  </si>
  <si>
    <t xml:space="preserve">lyoo@harborview.com</t>
  </si>
  <si>
    <t xml:space="preserve">Cornerstone Electric</t>
  </si>
  <si>
    <t xml:space="preserve">Ray Valdez</t>
  </si>
  <si>
    <t xml:space="preserve">847-555-1010</t>
  </si>
  <si>
    <t xml:space="preserve">rvaldez@cstone.com</t>
  </si>
  <si>
    <t xml:space="preserve">RENEWAL DASHBOARD</t>
  </si>
  <si>
    <t xml:space="preserve">Auto-calculated from Renewal Tracker sheet</t>
  </si>
  <si>
    <t xml:space="preserve">Total Active Clients</t>
  </si>
  <si>
    <t xml:space="preserve">Renewals ≤30 Days</t>
  </si>
  <si>
    <t xml:space="preserve">Renewals 31–60 Days</t>
  </si>
  <si>
    <t xml:space="preserve">Renewals 61–90 Days</t>
  </si>
  <si>
    <t xml:space="preserve">Total Book Premium (Annual)</t>
  </si>
  <si>
    <t xml:space="preserve">HOW TO USE THIS TRACKER</t>
  </si>
  <si>
    <t xml:space="preserve">STEP 1: Replace sample data</t>
  </si>
  <si>
    <t xml:space="preserve">Delete the 10 sample rows and enter your real clients. Start with clients whose renewals are coming up soonest.</t>
  </si>
  <si>
    <t xml:space="preserve">STEP 2: Enter renewal dates</t>
  </si>
  <si>
    <t xml:space="preserve">Column J (Renewal Date) is the most important field. The Days Until Renewal column calculates automatically.</t>
  </si>
  <si>
    <t xml:space="preserve">STEP 3: Watch the colors</t>
  </si>
  <si>
    <t xml:space="preserve">Rows automatically turn RED (≤30 days), AMBER (31–60 days), or GREEN (61–90 days) based on urgency.</t>
  </si>
  <si>
    <t xml:space="preserve">STEP 4: Update Status regularly</t>
  </si>
  <si>
    <t xml:space="preserve">Use the Status dropdown (Column L) to track where each client is: Active, Pending Review, Renewal Sent, etc.</t>
  </si>
  <si>
    <t xml:space="preserve">STEP 5: Log your contacts</t>
  </si>
  <si>
    <t xml:space="preserve">Update 'Last Contact' (Column M) every time you speak with a client so you never lose track.</t>
  </si>
  <si>
    <t xml:space="preserve">STEP 6: Check the Dashboard</t>
  </si>
  <si>
    <t xml:space="preserve">The Dashboard tab auto-calculates your totals — clients due soon, total book premium, and more.</t>
  </si>
  <si>
    <t xml:space="preserve">PRO TIP: Sort by Column K</t>
  </si>
  <si>
    <t xml:space="preserve">Sort the tracker by 'Days Until Renewal' (Column K, smallest to largest) every Monday morning for your weekly priority list.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</si>
</sst>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mm/dd/yyyy"/>
    <numFmt numFmtId="167" formatCode="0"/>
    <numFmt numFmtId="168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F39C12"/>
      <name val="Arial"/>
      <family val="0"/>
      <charset val="1"/>
    </font>
    <font>
      <b val="true"/>
      <sz val="9"/>
      <color rgb="FF27AE60"/>
      <name val="Arial"/>
      <family val="0"/>
      <charset val="1"/>
    </font>
    <font>
      <sz val="9"/>
      <color rgb="FF2C3E5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32"/>
      <color rgb="FF1A3A5C"/>
      <name val="Arial"/>
      <family val="0"/>
      <charset val="1"/>
    </font>
    <font>
      <b val="true"/>
      <sz val="32"/>
      <color rgb="FFC0392B"/>
      <name val="Arial"/>
      <family val="0"/>
      <charset val="1"/>
    </font>
    <font>
      <b val="true"/>
      <sz val="32"/>
      <color rgb="FFF39C12"/>
      <name val="Arial"/>
      <family val="0"/>
      <charset val="1"/>
    </font>
    <font>
      <b val="true"/>
      <sz val="32"/>
      <color rgb="FF27AE6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0"/>
      <color rgb="FF1B8A8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1A3A5C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A5C"/>
        <bgColor rgb="FF2C3E50"/>
      </patternFill>
    </fill>
    <fill>
      <patternFill patternType="solid">
        <fgColor rgb="FF1B8A8F"/>
        <bgColor rgb="FF008080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  <fill>
      <patternFill patternType="solid">
        <fgColor rgb="FFD5F5E3"/>
        <bgColor rgb="FFCCFFFF"/>
      </patternFill>
    </fill>
    <fill>
      <patternFill patternType="solid">
        <fgColor rgb="FFF0F6F9"/>
        <bgColor rgb="FFFFFFFF"/>
      </patternFill>
    </fill>
    <fill>
      <patternFill patternType="solid">
        <fgColor rgb="FFFFFFFF"/>
        <bgColor rgb="FFF0F6F9"/>
      </patternFill>
    </fill>
    <fill>
      <patternFill patternType="solid">
        <fgColor rgb="FFC0392B"/>
        <bgColor rgb="FF993366"/>
      </patternFill>
    </fill>
    <fill>
      <patternFill patternType="solid">
        <fgColor rgb="FFF39C12"/>
        <bgColor rgb="FFFFCC00"/>
      </patternFill>
    </fill>
    <fill>
      <patternFill patternType="solid">
        <fgColor rgb="FF27AE60"/>
        <bgColor rgb="FF1B8A8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A3A5C"/>
      </left>
      <right/>
      <top style="thin">
        <color rgb="FF1A3A5C"/>
      </top>
      <bottom style="thin">
        <color rgb="FF1A3A5C"/>
      </bottom>
      <diagonal/>
    </border>
    <border diagonalUp="false" diagonalDown="false">
      <left style="thin">
        <color rgb="FFC0392B"/>
      </left>
      <right/>
      <top style="thin">
        <color rgb="FFC0392B"/>
      </top>
      <bottom style="thin">
        <color rgb="FFC0392B"/>
      </bottom>
      <diagonal/>
    </border>
    <border diagonalUp="false" diagonalDown="false">
      <left style="thin">
        <color rgb="FFF39C12"/>
      </left>
      <right/>
      <top style="thin">
        <color rgb="FFF39C12"/>
      </top>
      <bottom style="thin">
        <color rgb="FFF39C12"/>
      </bottom>
      <diagonal/>
    </border>
    <border diagonalUp="false" diagonalDown="false">
      <left style="thin">
        <color rgb="FF27AE60"/>
      </left>
      <right/>
      <top style="thin">
        <color rgb="FF27AE60"/>
      </top>
      <bottom style="thin">
        <color rgb="FF27AE60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7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F39C12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27AE60"/>
        <sz val="9"/>
      </font>
      <fill>
        <patternFill>
          <bgColor rgb="FFD5F5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8A8F"/>
      <rgbColor rgb="FFCCCCCC"/>
      <rgbColor rgb="FF808080"/>
      <rgbColor rgb="FF9999FF"/>
      <rgbColor rgb="FF993366"/>
      <rgbColor rgb="FFFDEBD0"/>
      <rgbColor rgb="FFF0F6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39C12"/>
      <rgbColor rgb="FFFF6600"/>
      <rgbColor rgb="FF666699"/>
      <rgbColor rgb="FFAAAAAA"/>
      <rgbColor rgb="FF1A3A5C"/>
      <rgbColor rgb="FF27AE60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3" min="10" style="0" width="14"/>
    <col collapsed="false" customWidth="true" hidden="false" outlineLevel="0" max="14" min="14" style="0" width="22"/>
    <col collapsed="false" customWidth="true" hidden="false" outlineLevel="0" max="15" min="15" style="0" width="26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8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31.5" hidden="false" customHeight="true" outlineLevel="0" collapsed="false">
      <c r="A4" s="4" t="s">
        <v>2</v>
      </c>
      <c r="B4" s="4"/>
      <c r="C4" s="4"/>
      <c r="D4" s="5" t="s">
        <v>3</v>
      </c>
      <c r="E4" s="5"/>
      <c r="F4" s="5"/>
      <c r="G4" s="6" t="s">
        <v>4</v>
      </c>
      <c r="H4" s="6"/>
      <c r="I4" s="6"/>
      <c r="J4" s="7" t="s">
        <v>5</v>
      </c>
      <c r="K4" s="7"/>
      <c r="L4" s="7"/>
    </row>
    <row r="5" customFormat="false" ht="36" hidden="false" customHeight="true" outlineLevel="0" collapsed="false">
      <c r="A5" s="8" t="s">
        <v>6</v>
      </c>
      <c r="B5" s="8" t="s">
        <v>7</v>
      </c>
      <c r="C5" s="8" t="s">
        <v>8</v>
      </c>
      <c r="D5" s="8" t="s">
        <v>9</v>
      </c>
      <c r="E5" s="8" t="s">
        <v>10</v>
      </c>
      <c r="F5" s="8" t="s">
        <v>11</v>
      </c>
      <c r="G5" s="8" t="s">
        <v>12</v>
      </c>
      <c r="H5" s="8" t="s">
        <v>13</v>
      </c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19</v>
      </c>
      <c r="O5" s="8" t="s">
        <v>20</v>
      </c>
    </row>
    <row r="6" customFormat="false" ht="19.5" hidden="false" customHeight="true" outlineLevel="0" collapsed="false">
      <c r="A6" s="9" t="n">
        <v>1</v>
      </c>
      <c r="B6" s="10" t="s">
        <v>21</v>
      </c>
      <c r="C6" s="10" t="s">
        <v>22</v>
      </c>
      <c r="D6" s="10" t="s">
        <v>23</v>
      </c>
      <c r="E6" s="10" t="s">
        <v>24</v>
      </c>
      <c r="F6" s="10" t="s">
        <v>25</v>
      </c>
      <c r="G6" s="10" t="s">
        <v>26</v>
      </c>
      <c r="H6" s="9" t="n">
        <v>12</v>
      </c>
      <c r="I6" s="11" t="n">
        <v>28400</v>
      </c>
      <c r="J6" s="12" t="n">
        <v>46168</v>
      </c>
      <c r="K6" s="13" t="n">
        <f aca="true">J6-TODAY()</f>
        <v>18</v>
      </c>
      <c r="L6" s="10" t="s">
        <v>27</v>
      </c>
      <c r="M6" s="12" t="n">
        <v>46132</v>
      </c>
      <c r="N6" s="10" t="s">
        <v>28</v>
      </c>
      <c r="O6" s="10"/>
    </row>
    <row r="7" customFormat="false" ht="19.5" hidden="false" customHeight="true" outlineLevel="0" collapsed="false">
      <c r="A7" s="14" t="n">
        <v>2</v>
      </c>
      <c r="B7" s="15" t="s">
        <v>29</v>
      </c>
      <c r="C7" s="15" t="s">
        <v>30</v>
      </c>
      <c r="D7" s="15" t="s">
        <v>31</v>
      </c>
      <c r="E7" s="15" t="s">
        <v>32</v>
      </c>
      <c r="F7" s="15" t="s">
        <v>33</v>
      </c>
      <c r="G7" s="15" t="s">
        <v>34</v>
      </c>
      <c r="H7" s="14" t="n">
        <v>8</v>
      </c>
      <c r="I7" s="16" t="n">
        <v>19200</v>
      </c>
      <c r="J7" s="17" t="n">
        <v>46195</v>
      </c>
      <c r="K7" s="18" t="n">
        <f aca="true">J7-TODAY()</f>
        <v>45</v>
      </c>
      <c r="L7" s="15" t="s">
        <v>27</v>
      </c>
      <c r="M7" s="17" t="n">
        <v>46129</v>
      </c>
      <c r="N7" s="15" t="s">
        <v>28</v>
      </c>
      <c r="O7" s="15"/>
    </row>
    <row r="8" customFormat="false" ht="19.5" hidden="false" customHeight="true" outlineLevel="0" collapsed="false">
      <c r="A8" s="9" t="n">
        <v>3</v>
      </c>
      <c r="B8" s="10" t="s">
        <v>35</v>
      </c>
      <c r="C8" s="10" t="s">
        <v>36</v>
      </c>
      <c r="D8" s="10" t="s">
        <v>37</v>
      </c>
      <c r="E8" s="10" t="s">
        <v>38</v>
      </c>
      <c r="F8" s="10" t="s">
        <v>39</v>
      </c>
      <c r="G8" s="10" t="s">
        <v>40</v>
      </c>
      <c r="H8" s="9" t="n">
        <v>6</v>
      </c>
      <c r="I8" s="11" t="n">
        <v>11800</v>
      </c>
      <c r="J8" s="12" t="n">
        <v>46222</v>
      </c>
      <c r="K8" s="13" t="n">
        <f aca="true">J8-TODAY()</f>
        <v>72</v>
      </c>
      <c r="L8" s="10" t="s">
        <v>41</v>
      </c>
      <c r="M8" s="12" t="n">
        <v>46126</v>
      </c>
      <c r="N8" s="10" t="s">
        <v>28</v>
      </c>
      <c r="O8" s="10"/>
    </row>
    <row r="9" customFormat="false" ht="19.5" hidden="false" customHeight="true" outlineLevel="0" collapsed="false">
      <c r="A9" s="14" t="n">
        <v>4</v>
      </c>
      <c r="B9" s="15" t="s">
        <v>42</v>
      </c>
      <c r="C9" s="15" t="s">
        <v>43</v>
      </c>
      <c r="D9" s="15" t="s">
        <v>44</v>
      </c>
      <c r="E9" s="15" t="s">
        <v>45</v>
      </c>
      <c r="F9" s="15" t="s">
        <v>46</v>
      </c>
      <c r="G9" s="15" t="s">
        <v>26</v>
      </c>
      <c r="H9" s="14" t="n">
        <v>22</v>
      </c>
      <c r="I9" s="16" t="n">
        <v>61500</v>
      </c>
      <c r="J9" s="17" t="n">
        <v>46255</v>
      </c>
      <c r="K9" s="18" t="n">
        <f aca="true">J9-TODAY()</f>
        <v>105</v>
      </c>
      <c r="L9" s="15" t="s">
        <v>27</v>
      </c>
      <c r="M9" s="17" t="n">
        <v>46123</v>
      </c>
      <c r="N9" s="15" t="s">
        <v>28</v>
      </c>
      <c r="O9" s="15"/>
    </row>
    <row r="10" customFormat="false" ht="19.5" hidden="false" customHeight="true" outlineLevel="0" collapsed="false">
      <c r="A10" s="9" t="n">
        <v>5</v>
      </c>
      <c r="B10" s="10" t="s">
        <v>47</v>
      </c>
      <c r="C10" s="10" t="s">
        <v>48</v>
      </c>
      <c r="D10" s="10" t="s">
        <v>49</v>
      </c>
      <c r="E10" s="10" t="s">
        <v>50</v>
      </c>
      <c r="F10" s="10" t="s">
        <v>25</v>
      </c>
      <c r="G10" s="10" t="s">
        <v>34</v>
      </c>
      <c r="H10" s="9" t="n">
        <v>9</v>
      </c>
      <c r="I10" s="11" t="n">
        <v>21600</v>
      </c>
      <c r="J10" s="12" t="n">
        <v>46178</v>
      </c>
      <c r="K10" s="13" t="n">
        <f aca="true">J10-TODAY()</f>
        <v>28</v>
      </c>
      <c r="L10" s="10" t="s">
        <v>27</v>
      </c>
      <c r="M10" s="12" t="n">
        <v>46120</v>
      </c>
      <c r="N10" s="10" t="s">
        <v>28</v>
      </c>
      <c r="O10" s="10"/>
    </row>
    <row r="11" customFormat="false" ht="19.5" hidden="false" customHeight="true" outlineLevel="0" collapsed="false">
      <c r="A11" s="14" t="n">
        <v>6</v>
      </c>
      <c r="B11" s="15" t="s">
        <v>51</v>
      </c>
      <c r="C11" s="15" t="s">
        <v>52</v>
      </c>
      <c r="D11" s="15" t="s">
        <v>53</v>
      </c>
      <c r="E11" s="15" t="s">
        <v>54</v>
      </c>
      <c r="F11" s="15" t="s">
        <v>55</v>
      </c>
      <c r="G11" s="15" t="s">
        <v>40</v>
      </c>
      <c r="H11" s="14" t="n">
        <v>5</v>
      </c>
      <c r="I11" s="16" t="n">
        <v>9500</v>
      </c>
      <c r="J11" s="17" t="n">
        <v>46290</v>
      </c>
      <c r="K11" s="18" t="n">
        <f aca="true">J11-TODAY()</f>
        <v>140</v>
      </c>
      <c r="L11" s="15" t="s">
        <v>27</v>
      </c>
      <c r="M11" s="17" t="n">
        <v>46117</v>
      </c>
      <c r="N11" s="15" t="s">
        <v>28</v>
      </c>
      <c r="O11" s="15"/>
    </row>
    <row r="12" customFormat="false" ht="19.5" hidden="false" customHeight="true" outlineLevel="0" collapsed="false">
      <c r="A12" s="9" t="n">
        <v>7</v>
      </c>
      <c r="B12" s="10" t="s">
        <v>56</v>
      </c>
      <c r="C12" s="10" t="s">
        <v>57</v>
      </c>
      <c r="D12" s="10" t="s">
        <v>58</v>
      </c>
      <c r="E12" s="10" t="s">
        <v>59</v>
      </c>
      <c r="F12" s="10" t="s">
        <v>33</v>
      </c>
      <c r="G12" s="10" t="s">
        <v>26</v>
      </c>
      <c r="H12" s="9" t="n">
        <v>7</v>
      </c>
      <c r="I12" s="11" t="n">
        <v>16800</v>
      </c>
      <c r="J12" s="12" t="n">
        <v>46164</v>
      </c>
      <c r="K12" s="13" t="n">
        <f aca="true">J12-TODAY()</f>
        <v>14</v>
      </c>
      <c r="L12" s="10" t="s">
        <v>60</v>
      </c>
      <c r="M12" s="12" t="n">
        <v>46114</v>
      </c>
      <c r="N12" s="10" t="s">
        <v>28</v>
      </c>
      <c r="O12" s="10"/>
    </row>
    <row r="13" customFormat="false" ht="19.5" hidden="false" customHeight="true" outlineLevel="0" collapsed="false">
      <c r="A13" s="14" t="n">
        <v>8</v>
      </c>
      <c r="B13" s="15" t="s">
        <v>61</v>
      </c>
      <c r="C13" s="15" t="s">
        <v>62</v>
      </c>
      <c r="D13" s="15" t="s">
        <v>63</v>
      </c>
      <c r="E13" s="15" t="s">
        <v>64</v>
      </c>
      <c r="F13" s="15" t="s">
        <v>39</v>
      </c>
      <c r="G13" s="15" t="s">
        <v>26</v>
      </c>
      <c r="H13" s="14" t="n">
        <v>35</v>
      </c>
      <c r="I13" s="16" t="n">
        <v>94500</v>
      </c>
      <c r="J13" s="17" t="n">
        <v>46350</v>
      </c>
      <c r="K13" s="18" t="n">
        <f aca="true">J13-TODAY()</f>
        <v>200</v>
      </c>
      <c r="L13" s="15" t="s">
        <v>27</v>
      </c>
      <c r="M13" s="17" t="n">
        <v>46111</v>
      </c>
      <c r="N13" s="15" t="s">
        <v>28</v>
      </c>
      <c r="O13" s="15"/>
    </row>
    <row r="14" customFormat="false" ht="19.5" hidden="false" customHeight="true" outlineLevel="0" collapsed="false">
      <c r="A14" s="9" t="n">
        <v>9</v>
      </c>
      <c r="B14" s="10" t="s">
        <v>65</v>
      </c>
      <c r="C14" s="10" t="s">
        <v>66</v>
      </c>
      <c r="D14" s="10" t="s">
        <v>67</v>
      </c>
      <c r="E14" s="10" t="s">
        <v>68</v>
      </c>
      <c r="F14" s="10" t="s">
        <v>46</v>
      </c>
      <c r="G14" s="10" t="s">
        <v>34</v>
      </c>
      <c r="H14" s="9" t="n">
        <v>18</v>
      </c>
      <c r="I14" s="11" t="n">
        <v>38200</v>
      </c>
      <c r="J14" s="12" t="n">
        <v>46205</v>
      </c>
      <c r="K14" s="13" t="n">
        <f aca="true">J14-TODAY()</f>
        <v>55</v>
      </c>
      <c r="L14" s="10" t="s">
        <v>41</v>
      </c>
      <c r="M14" s="12" t="n">
        <v>46108</v>
      </c>
      <c r="N14" s="10" t="s">
        <v>28</v>
      </c>
      <c r="O14" s="10"/>
    </row>
    <row r="15" customFormat="false" ht="19.5" hidden="false" customHeight="true" outlineLevel="0" collapsed="false">
      <c r="A15" s="14" t="n">
        <v>10</v>
      </c>
      <c r="B15" s="15" t="s">
        <v>69</v>
      </c>
      <c r="C15" s="15" t="s">
        <v>70</v>
      </c>
      <c r="D15" s="15" t="s">
        <v>71</v>
      </c>
      <c r="E15" s="15" t="s">
        <v>72</v>
      </c>
      <c r="F15" s="15" t="s">
        <v>25</v>
      </c>
      <c r="G15" s="15" t="s">
        <v>40</v>
      </c>
      <c r="H15" s="14" t="n">
        <v>11</v>
      </c>
      <c r="I15" s="16" t="n">
        <v>22000</v>
      </c>
      <c r="J15" s="17" t="n">
        <v>46158</v>
      </c>
      <c r="K15" s="18" t="n">
        <f aca="true">J15-TODAY()</f>
        <v>8</v>
      </c>
      <c r="L15" s="15" t="s">
        <v>27</v>
      </c>
      <c r="M15" s="17" t="n">
        <v>46105</v>
      </c>
      <c r="N15" s="15" t="s">
        <v>28</v>
      </c>
      <c r="O15" s="15"/>
    </row>
    <row r="16" customFormat="false" ht="19.5" hidden="false" customHeight="true" outlineLevel="0" collapsed="false">
      <c r="A16" s="9" t="n">
        <v>11</v>
      </c>
      <c r="B16" s="10"/>
      <c r="C16" s="10"/>
      <c r="D16" s="10"/>
      <c r="E16" s="10"/>
      <c r="F16" s="10"/>
      <c r="G16" s="10"/>
      <c r="H16" s="9"/>
      <c r="I16" s="10"/>
      <c r="J16" s="10"/>
      <c r="K16" s="13" t="str">
        <f aca="true">IF(J16="","",J16-TODAY())</f>
        <v/>
      </c>
      <c r="L16" s="10"/>
      <c r="M16" s="10"/>
      <c r="N16" s="10"/>
      <c r="O16" s="10"/>
    </row>
    <row r="17" customFormat="false" ht="19.5" hidden="false" customHeight="true" outlineLevel="0" collapsed="false">
      <c r="A17" s="14" t="n">
        <v>12</v>
      </c>
      <c r="B17" s="15"/>
      <c r="C17" s="15"/>
      <c r="D17" s="15"/>
      <c r="E17" s="15"/>
      <c r="F17" s="15"/>
      <c r="G17" s="15"/>
      <c r="H17" s="14"/>
      <c r="I17" s="15"/>
      <c r="J17" s="15"/>
      <c r="K17" s="18" t="str">
        <f aca="true">IF(J17="","",J17-TODAY())</f>
        <v/>
      </c>
      <c r="L17" s="15"/>
      <c r="M17" s="15"/>
      <c r="N17" s="15"/>
      <c r="O17" s="15"/>
    </row>
    <row r="18" customFormat="false" ht="19.5" hidden="false" customHeight="true" outlineLevel="0" collapsed="false">
      <c r="A18" s="9" t="n">
        <v>13</v>
      </c>
      <c r="B18" s="10"/>
      <c r="C18" s="10"/>
      <c r="D18" s="10"/>
      <c r="E18" s="10"/>
      <c r="F18" s="10"/>
      <c r="G18" s="10"/>
      <c r="H18" s="9"/>
      <c r="I18" s="10"/>
      <c r="J18" s="10"/>
      <c r="K18" s="13" t="str">
        <f aca="true">IF(J18="","",J18-TODAY())</f>
        <v/>
      </c>
      <c r="L18" s="10"/>
      <c r="M18" s="10"/>
      <c r="N18" s="10"/>
      <c r="O18" s="10"/>
    </row>
    <row r="19" customFormat="false" ht="19.5" hidden="false" customHeight="true" outlineLevel="0" collapsed="false">
      <c r="A19" s="14" t="n">
        <v>14</v>
      </c>
      <c r="B19" s="15"/>
      <c r="C19" s="15"/>
      <c r="D19" s="15"/>
      <c r="E19" s="15"/>
      <c r="F19" s="15"/>
      <c r="G19" s="15"/>
      <c r="H19" s="14"/>
      <c r="I19" s="15"/>
      <c r="J19" s="15"/>
      <c r="K19" s="18" t="str">
        <f aca="true">IF(J19="","",J19-TODAY())</f>
        <v/>
      </c>
      <c r="L19" s="15"/>
      <c r="M19" s="15"/>
      <c r="N19" s="15"/>
      <c r="O19" s="15"/>
    </row>
    <row r="20" customFormat="false" ht="19.5" hidden="false" customHeight="true" outlineLevel="0" collapsed="false">
      <c r="A20" s="9" t="n">
        <v>15</v>
      </c>
      <c r="B20" s="10"/>
      <c r="C20" s="10"/>
      <c r="D20" s="10"/>
      <c r="E20" s="10"/>
      <c r="F20" s="10"/>
      <c r="G20" s="10"/>
      <c r="H20" s="9"/>
      <c r="I20" s="10"/>
      <c r="J20" s="10"/>
      <c r="K20" s="13" t="str">
        <f aca="true">IF(J20="","",J20-TODAY())</f>
        <v/>
      </c>
      <c r="L20" s="10"/>
      <c r="M20" s="10"/>
      <c r="N20" s="10"/>
      <c r="O20" s="10"/>
    </row>
    <row r="21" customFormat="false" ht="19.5" hidden="false" customHeight="true" outlineLevel="0" collapsed="false">
      <c r="A21" s="14" t="n">
        <v>16</v>
      </c>
      <c r="B21" s="15"/>
      <c r="C21" s="15"/>
      <c r="D21" s="15"/>
      <c r="E21" s="15"/>
      <c r="F21" s="15"/>
      <c r="G21" s="15"/>
      <c r="H21" s="14"/>
      <c r="I21" s="15"/>
      <c r="J21" s="15"/>
      <c r="K21" s="18" t="str">
        <f aca="true">IF(J21="","",J21-TODAY())</f>
        <v/>
      </c>
      <c r="L21" s="15"/>
      <c r="M21" s="15"/>
      <c r="N21" s="15"/>
      <c r="O21" s="15"/>
    </row>
    <row r="22" customFormat="false" ht="19.5" hidden="false" customHeight="true" outlineLevel="0" collapsed="false">
      <c r="A22" s="9" t="n">
        <v>17</v>
      </c>
      <c r="B22" s="10"/>
      <c r="C22" s="10"/>
      <c r="D22" s="10"/>
      <c r="E22" s="10"/>
      <c r="F22" s="10"/>
      <c r="G22" s="10"/>
      <c r="H22" s="9"/>
      <c r="I22" s="10"/>
      <c r="J22" s="10"/>
      <c r="K22" s="13" t="str">
        <f aca="true">IF(J22="","",J22-TODAY())</f>
        <v/>
      </c>
      <c r="L22" s="10"/>
      <c r="M22" s="10"/>
      <c r="N22" s="10"/>
      <c r="O22" s="10"/>
    </row>
    <row r="23" customFormat="false" ht="19.5" hidden="false" customHeight="true" outlineLevel="0" collapsed="false">
      <c r="A23" s="14" t="n">
        <v>18</v>
      </c>
      <c r="B23" s="15"/>
      <c r="C23" s="15"/>
      <c r="D23" s="15"/>
      <c r="E23" s="15"/>
      <c r="F23" s="15"/>
      <c r="G23" s="15"/>
      <c r="H23" s="14"/>
      <c r="I23" s="15"/>
      <c r="J23" s="15"/>
      <c r="K23" s="18" t="str">
        <f aca="true">IF(J23="","",J23-TODAY())</f>
        <v/>
      </c>
      <c r="L23" s="15"/>
      <c r="M23" s="15"/>
      <c r="N23" s="15"/>
      <c r="O23" s="15"/>
    </row>
    <row r="24" customFormat="false" ht="19.5" hidden="false" customHeight="true" outlineLevel="0" collapsed="false">
      <c r="A24" s="9" t="n">
        <v>19</v>
      </c>
      <c r="B24" s="10"/>
      <c r="C24" s="10"/>
      <c r="D24" s="10"/>
      <c r="E24" s="10"/>
      <c r="F24" s="10"/>
      <c r="G24" s="10"/>
      <c r="H24" s="9"/>
      <c r="I24" s="10"/>
      <c r="J24" s="10"/>
      <c r="K24" s="13" t="str">
        <f aca="true">IF(J24="","",J24-TODAY())</f>
        <v/>
      </c>
      <c r="L24" s="10"/>
      <c r="M24" s="10"/>
      <c r="N24" s="10"/>
      <c r="O24" s="10"/>
    </row>
    <row r="25" customFormat="false" ht="19.5" hidden="false" customHeight="true" outlineLevel="0" collapsed="false">
      <c r="A25" s="14" t="n">
        <v>20</v>
      </c>
      <c r="B25" s="15"/>
      <c r="C25" s="15"/>
      <c r="D25" s="15"/>
      <c r="E25" s="15"/>
      <c r="F25" s="15"/>
      <c r="G25" s="15"/>
      <c r="H25" s="14"/>
      <c r="I25" s="15"/>
      <c r="J25" s="15"/>
      <c r="K25" s="18" t="str">
        <f aca="true">IF(J25="","",J25-TODAY())</f>
        <v/>
      </c>
      <c r="L25" s="15"/>
      <c r="M25" s="15"/>
      <c r="N25" s="15"/>
      <c r="O25" s="15"/>
    </row>
    <row r="26" customFormat="false" ht="19.5" hidden="false" customHeight="true" outlineLevel="0" collapsed="false">
      <c r="A26" s="9" t="n">
        <v>21</v>
      </c>
      <c r="B26" s="10"/>
      <c r="C26" s="10"/>
      <c r="D26" s="10"/>
      <c r="E26" s="10"/>
      <c r="F26" s="10"/>
      <c r="G26" s="10"/>
      <c r="H26" s="9"/>
      <c r="I26" s="10"/>
      <c r="J26" s="10"/>
      <c r="K26" s="13" t="str">
        <f aca="true">IF(J26="","",J26-TODAY())</f>
        <v/>
      </c>
      <c r="L26" s="10"/>
      <c r="M26" s="10"/>
      <c r="N26" s="10"/>
      <c r="O26" s="10"/>
    </row>
    <row r="27" customFormat="false" ht="19.5" hidden="false" customHeight="true" outlineLevel="0" collapsed="false">
      <c r="A27" s="14" t="n">
        <v>22</v>
      </c>
      <c r="B27" s="15"/>
      <c r="C27" s="15"/>
      <c r="D27" s="15"/>
      <c r="E27" s="15"/>
      <c r="F27" s="15"/>
      <c r="G27" s="15"/>
      <c r="H27" s="14"/>
      <c r="I27" s="15"/>
      <c r="J27" s="15"/>
      <c r="K27" s="18" t="str">
        <f aca="true">IF(J27="","",J27-TODAY())</f>
        <v/>
      </c>
      <c r="L27" s="15"/>
      <c r="M27" s="15"/>
      <c r="N27" s="15"/>
      <c r="O27" s="15"/>
    </row>
    <row r="28" customFormat="false" ht="19.5" hidden="false" customHeight="true" outlineLevel="0" collapsed="false">
      <c r="A28" s="9" t="n">
        <v>23</v>
      </c>
      <c r="B28" s="10"/>
      <c r="C28" s="10"/>
      <c r="D28" s="10"/>
      <c r="E28" s="10"/>
      <c r="F28" s="10"/>
      <c r="G28" s="10"/>
      <c r="H28" s="9"/>
      <c r="I28" s="10"/>
      <c r="J28" s="10"/>
      <c r="K28" s="13" t="str">
        <f aca="true">IF(J28="","",J28-TODAY())</f>
        <v/>
      </c>
      <c r="L28" s="10"/>
      <c r="M28" s="10"/>
      <c r="N28" s="10"/>
      <c r="O28" s="10"/>
    </row>
    <row r="29" customFormat="false" ht="19.5" hidden="false" customHeight="true" outlineLevel="0" collapsed="false">
      <c r="A29" s="14" t="n">
        <v>24</v>
      </c>
      <c r="B29" s="15"/>
      <c r="C29" s="15"/>
      <c r="D29" s="15"/>
      <c r="E29" s="15"/>
      <c r="F29" s="15"/>
      <c r="G29" s="15"/>
      <c r="H29" s="14"/>
      <c r="I29" s="15"/>
      <c r="J29" s="15"/>
      <c r="K29" s="18" t="str">
        <f aca="true">IF(J29="","",J29-TODAY())</f>
        <v/>
      </c>
      <c r="L29" s="15"/>
      <c r="M29" s="15"/>
      <c r="N29" s="15"/>
      <c r="O29" s="15"/>
    </row>
    <row r="30" customFormat="false" ht="19.5" hidden="false" customHeight="true" outlineLevel="0" collapsed="false">
      <c r="A30" s="9" t="n">
        <v>25</v>
      </c>
      <c r="B30" s="10"/>
      <c r="C30" s="10"/>
      <c r="D30" s="10"/>
      <c r="E30" s="10"/>
      <c r="F30" s="10"/>
      <c r="G30" s="10"/>
      <c r="H30" s="9"/>
      <c r="I30" s="10"/>
      <c r="J30" s="10"/>
      <c r="K30" s="13" t="str">
        <f aca="true">IF(J30="","",J30-TODAY())</f>
        <v/>
      </c>
      <c r="L30" s="10"/>
      <c r="M30" s="10"/>
      <c r="N30" s="10"/>
      <c r="O30" s="10"/>
    </row>
    <row r="31" customFormat="false" ht="19.5" hidden="false" customHeight="true" outlineLevel="0" collapsed="false">
      <c r="A31" s="14" t="n">
        <v>26</v>
      </c>
      <c r="B31" s="15"/>
      <c r="C31" s="15"/>
      <c r="D31" s="15"/>
      <c r="E31" s="15"/>
      <c r="F31" s="15"/>
      <c r="G31" s="15"/>
      <c r="H31" s="14"/>
      <c r="I31" s="15"/>
      <c r="J31" s="15"/>
      <c r="K31" s="18" t="str">
        <f aca="true">IF(J31="","",J31-TODAY())</f>
        <v/>
      </c>
      <c r="L31" s="15"/>
      <c r="M31" s="15"/>
      <c r="N31" s="15"/>
      <c r="O31" s="15"/>
    </row>
    <row r="32" customFormat="false" ht="19.5" hidden="false" customHeight="true" outlineLevel="0" collapsed="false">
      <c r="A32" s="9" t="n">
        <v>27</v>
      </c>
      <c r="B32" s="10"/>
      <c r="C32" s="10"/>
      <c r="D32" s="10"/>
      <c r="E32" s="10"/>
      <c r="F32" s="10"/>
      <c r="G32" s="10"/>
      <c r="H32" s="9"/>
      <c r="I32" s="10"/>
      <c r="J32" s="10"/>
      <c r="K32" s="13" t="str">
        <f aca="true">IF(J32="","",J32-TODAY())</f>
        <v/>
      </c>
      <c r="L32" s="10"/>
      <c r="M32" s="10"/>
      <c r="N32" s="10"/>
      <c r="O32" s="10"/>
    </row>
    <row r="33" customFormat="false" ht="19.5" hidden="false" customHeight="true" outlineLevel="0" collapsed="false">
      <c r="A33" s="14" t="n">
        <v>28</v>
      </c>
      <c r="B33" s="15"/>
      <c r="C33" s="15"/>
      <c r="D33" s="15"/>
      <c r="E33" s="15"/>
      <c r="F33" s="15"/>
      <c r="G33" s="15"/>
      <c r="H33" s="14"/>
      <c r="I33" s="15"/>
      <c r="J33" s="15"/>
      <c r="K33" s="18" t="str">
        <f aca="true">IF(J33="","",J33-TODAY())</f>
        <v/>
      </c>
      <c r="L33" s="15"/>
      <c r="M33" s="15"/>
      <c r="N33" s="15"/>
      <c r="O33" s="15"/>
    </row>
    <row r="34" customFormat="false" ht="19.5" hidden="false" customHeight="true" outlineLevel="0" collapsed="false">
      <c r="A34" s="9" t="n">
        <v>29</v>
      </c>
      <c r="B34" s="10"/>
      <c r="C34" s="10"/>
      <c r="D34" s="10"/>
      <c r="E34" s="10"/>
      <c r="F34" s="10"/>
      <c r="G34" s="10"/>
      <c r="H34" s="9"/>
      <c r="I34" s="10"/>
      <c r="J34" s="10"/>
      <c r="K34" s="13" t="str">
        <f aca="true">IF(J34="","",J34-TODAY())</f>
        <v/>
      </c>
      <c r="L34" s="10"/>
      <c r="M34" s="10"/>
      <c r="N34" s="10"/>
      <c r="O34" s="10"/>
    </row>
    <row r="35" customFormat="false" ht="19.5" hidden="false" customHeight="true" outlineLevel="0" collapsed="false">
      <c r="A35" s="14" t="n">
        <v>30</v>
      </c>
      <c r="B35" s="15"/>
      <c r="C35" s="15"/>
      <c r="D35" s="15"/>
      <c r="E35" s="15"/>
      <c r="F35" s="15"/>
      <c r="G35" s="15"/>
      <c r="H35" s="14"/>
      <c r="I35" s="15"/>
      <c r="J35" s="15"/>
      <c r="K35" s="18" t="str">
        <f aca="true">IF(J35="","",J35-TODAY())</f>
        <v/>
      </c>
      <c r="L35" s="15"/>
      <c r="M35" s="15"/>
      <c r="N35" s="15"/>
      <c r="O35" s="15"/>
    </row>
  </sheetData>
  <mergeCells count="7">
    <mergeCell ref="A1:O1"/>
    <mergeCell ref="A2:O2"/>
    <mergeCell ref="A3:O3"/>
    <mergeCell ref="A4:C4"/>
    <mergeCell ref="D4:F4"/>
    <mergeCell ref="G4:I4"/>
    <mergeCell ref="J4:L4"/>
  </mergeCells>
  <conditionalFormatting sqref="A6:O35">
    <cfRule type="expression" priority="2" aboveAverage="0" equalAverage="0" bottom="0" percent="0" rank="0" text="" dxfId="0">
      <formula>AND($K6&lt;&gt;"",$K6&lt;=30,$K6&gt;=0)</formula>
    </cfRule>
    <cfRule type="expression" priority="3" aboveAverage="0" equalAverage="0" bottom="0" percent="0" rank="0" text="" dxfId="1">
      <formula>AND($K6&gt;30,$K6&lt;=60)</formula>
    </cfRule>
    <cfRule type="expression" priority="4" aboveAverage="0" equalAverage="0" bottom="0" percent="0" rank="0" text="" dxfId="2">
      <formula>AND($K6&gt;60,$K6&lt;=90)</formula>
    </cfRule>
  </conditionalFormatting>
  <dataValidations count="1">
    <dataValidation allowBlank="true" errorStyle="stop" operator="between" showDropDown="false" showErrorMessage="false" showInputMessage="false" sqref="L6:L35" type="list">
      <formula1>"Active,Pending Review,Renewal Sent,Lost,On Hold,New Lead"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43.5" hidden="false" customHeight="true" outlineLevel="0" collapsed="false">
      <c r="A1" s="1" t="s">
        <v>73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74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5.5" hidden="false" customHeight="true" outlineLevel="0" collapsed="false">
      <c r="A4" s="19" t="s">
        <v>75</v>
      </c>
      <c r="B4" s="19"/>
      <c r="C4" s="20" t="s">
        <v>76</v>
      </c>
      <c r="D4" s="20"/>
      <c r="E4" s="21" t="s">
        <v>77</v>
      </c>
      <c r="F4" s="21"/>
      <c r="G4" s="22" t="s">
        <v>78</v>
      </c>
      <c r="H4" s="22"/>
    </row>
    <row r="5" customFormat="false" ht="51.75" hidden="false" customHeight="true" outlineLevel="0" collapsed="false">
      <c r="A5" s="23" t="n">
        <f aca="false">COUNTA('Renewal Tracker'!B6:B35)</f>
        <v>10</v>
      </c>
      <c r="B5" s="23"/>
      <c r="C5" s="24" t="n">
        <f aca="false">COUNTIFS('Renewal Tracker'!K6:K35,"&lt;="&amp;30,'Renewal Tracker'!K6:K35,"&gt;="&amp;0)</f>
        <v>4</v>
      </c>
      <c r="D5" s="24"/>
      <c r="E5" s="25" t="n">
        <f aca="false">COUNTIFS('Renewal Tracker'!K6:K35,"&gt;"&amp;30,'Renewal Tracker'!K6:K35,"&lt;="&amp;60)</f>
        <v>2</v>
      </c>
      <c r="F5" s="25"/>
      <c r="G5" s="26" t="n">
        <f aca="false">COUNTIFS('Renewal Tracker'!K6:K35,"&gt;"&amp;60,'Renewal Tracker'!K6:K35,"&lt;="&amp;90)</f>
        <v>1</v>
      </c>
      <c r="H5" s="26"/>
    </row>
    <row r="6" customFormat="false" ht="15" hidden="false" customHeight="false" outlineLevel="0" collapsed="false">
      <c r="A6" s="27"/>
      <c r="B6" s="27"/>
      <c r="C6" s="27"/>
      <c r="D6" s="27"/>
      <c r="E6" s="27"/>
      <c r="F6" s="27"/>
      <c r="G6" s="27"/>
      <c r="H6" s="27"/>
    </row>
    <row r="7" customFormat="false" ht="15" hidden="false" customHeight="false" outlineLevel="0" collapsed="false">
      <c r="A7" s="27"/>
      <c r="B7" s="27"/>
      <c r="C7" s="27"/>
      <c r="D7" s="27"/>
      <c r="E7" s="27"/>
      <c r="F7" s="27"/>
      <c r="G7" s="27"/>
      <c r="H7" s="27"/>
    </row>
    <row r="8" customFormat="false" ht="27.75" hidden="false" customHeight="true" outlineLevel="0" collapsed="false">
      <c r="A8" s="28" t="s">
        <v>79</v>
      </c>
      <c r="B8" s="28"/>
      <c r="C8" s="28"/>
      <c r="D8" s="28"/>
    </row>
    <row r="9" customFormat="false" ht="39.75" hidden="false" customHeight="true" outlineLevel="0" collapsed="false">
      <c r="A9" s="29" t="n">
        <f aca="false">SUM('Renewal Tracker'!I6:I35)</f>
        <v>323500</v>
      </c>
      <c r="B9" s="29"/>
      <c r="C9" s="29"/>
      <c r="D9" s="29"/>
    </row>
  </sheetData>
  <mergeCells count="21">
    <mergeCell ref="A1:H1"/>
    <mergeCell ref="A2:H2"/>
    <mergeCell ref="A3:H3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8:D8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37.5" hidden="false" customHeight="true" outlineLevel="0" collapsed="false">
      <c r="B1" s="30" t="s">
        <v>80</v>
      </c>
      <c r="C1" s="30"/>
    </row>
    <row r="2" customFormat="false" ht="6" hidden="false" customHeight="true" outlineLevel="0" collapsed="false">
      <c r="B2" s="3"/>
      <c r="C2" s="3"/>
    </row>
    <row r="4" customFormat="false" ht="19.5" hidden="false" customHeight="true" outlineLevel="0" collapsed="false">
      <c r="B4" s="31" t="s">
        <v>81</v>
      </c>
      <c r="C4" s="32" t="s">
        <v>82</v>
      </c>
    </row>
    <row r="5" customFormat="false" ht="19.5" hidden="false" customHeight="true" outlineLevel="0" collapsed="false">
      <c r="B5" s="33" t="s">
        <v>83</v>
      </c>
      <c r="C5" s="34" t="s">
        <v>84</v>
      </c>
    </row>
    <row r="6" customFormat="false" ht="19.5" hidden="false" customHeight="true" outlineLevel="0" collapsed="false">
      <c r="B6" s="31" t="s">
        <v>85</v>
      </c>
      <c r="C6" s="32" t="s">
        <v>86</v>
      </c>
    </row>
    <row r="7" customFormat="false" ht="19.5" hidden="false" customHeight="true" outlineLevel="0" collapsed="false">
      <c r="B7" s="33" t="s">
        <v>87</v>
      </c>
      <c r="C7" s="34" t="s">
        <v>88</v>
      </c>
    </row>
    <row r="8" customFormat="false" ht="19.5" hidden="false" customHeight="true" outlineLevel="0" collapsed="false">
      <c r="B8" s="31" t="s">
        <v>89</v>
      </c>
      <c r="C8" s="32" t="s">
        <v>90</v>
      </c>
    </row>
    <row r="9" customFormat="false" ht="19.5" hidden="false" customHeight="true" outlineLevel="0" collapsed="false">
      <c r="B9" s="33" t="s">
        <v>91</v>
      </c>
      <c r="C9" s="34" t="s">
        <v>92</v>
      </c>
    </row>
    <row r="10" customFormat="false" ht="19.5" hidden="false" customHeight="true" outlineLevel="0" collapsed="false">
      <c r="B10" s="31" t="s">
        <v>93</v>
      </c>
      <c r="C10" s="32" t="s">
        <v>94</v>
      </c>
    </row>
  </sheetData>
  <mergeCells count="2">
    <mergeCell ref="B1:C1"/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2026-05-08T22:49:13Z</dcterms:created>
  <dc:creator>openpyxl</dc:creator>
  <dc:description/>
  <dc:language>en-US</dc:language>
  <cp:lastModifiedBy/>
  <dcterms:modified xsi:type="dcterms:W3CDTF">2026-05-08T22:49:13Z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