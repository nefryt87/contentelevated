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<sst xmlns="http://schemas.openxmlformats.org/spreadsheetml/2006/main" count="60" uniqueCount="59">
  <si>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BENEFITS COST COMPARISON CALCULATOR</t>
  </si>
  <si>
    <t xml:space="preserve">Healthcare Broker Solo Toolkit  |  Blue cells = your inputs  |  Black cells = auto-calculated</t>
  </si>
  <si>
    <t xml:space="preserve">COMPANY INFORMATION</t>
  </si>
  <si>
    <t xml:space="preserve">Company Name</t>
  </si>
  <si>
    <t xml:space="preserve">Acme Landscaping LLC</t>
  </si>
  <si>
    <t xml:space="preserve"># of Full-Time Employees</t>
  </si>
  <si>
    <t xml:space="preserve">Average Employee Age</t>
  </si>
  <si>
    <t xml:space="preserve">Industry / Business Type</t>
  </si>
  <si>
    <t xml:space="preserve">Home Services</t>
  </si>
  <si>
    <t xml:space="preserve">Annual Benefits Budget (Total $)</t>
  </si>
  <si>
    <t xml:space="preserve">Desired Employer Contribution (%)</t>
  </si>
  <si>
    <t xml:space="preserve">PLAN COMPARISON — Enter Monthly Premiums Per Employee</t>
  </si>
  <si>
    <t xml:space="preserve">FIELD</t>
  </si>
  <si>
    <t xml:space="preserve">PLAN A
(Current)</t>
  </si>
  <si>
    <t xml:space="preserve">PLAN B
(Option 1)</t>
  </si>
  <si>
    <t xml:space="preserve">PLAN C
(Option 2)</t>
  </si>
  <si>
    <t xml:space="preserve">PLAN D
(Option 3)</t>
  </si>
  <si>
    <t xml:space="preserve">NOTES</t>
  </si>
  <si>
    <t xml:space="preserve">Plan Name / Carrier</t>
  </si>
  <si>
    <t xml:space="preserve">Blue Cross PPO</t>
  </si>
  <si>
    <t xml:space="preserve">Aetna HMO</t>
  </si>
  <si>
    <t xml:space="preserve">UHC HDHP</t>
  </si>
  <si>
    <t xml:space="preserve">Cigna PPO</t>
  </si>
  <si>
    <t xml:space="preserve">Plan Type</t>
  </si>
  <si>
    <t xml:space="preserve">PPO</t>
  </si>
  <si>
    <t xml:space="preserve">HMO</t>
  </si>
  <si>
    <t xml:space="preserve">HDHP</t>
  </si>
  <si>
    <t xml:space="preserve">Monthly Premium — Employee</t>
  </si>
  <si>
    <t xml:space="preserve">Most common tier</t>
  </si>
  <si>
    <t xml:space="preserve">Monthly Premium — EE+Spouse</t>
  </si>
  <si>
    <t xml:space="preserve">2nd most common</t>
  </si>
  <si>
    <t xml:space="preserve">Monthly Premium — EE+Family</t>
  </si>
  <si>
    <t xml:space="preserve">Largest premium</t>
  </si>
  <si>
    <t xml:space="preserve">Annual Deductible (Single)</t>
  </si>
  <si>
    <t xml:space="preserve">Lower = better for employees</t>
  </si>
  <si>
    <t xml:space="preserve">Out-of-Pocket Max (Single)</t>
  </si>
  <si>
    <t xml:space="preserve">CALCULATED RESULTS  (Auto-updates when you change inputs above)</t>
  </si>
  <si>
    <t xml:space="preserve">Employer Monthly Cost / Employee (EE Only)</t>
  </si>
  <si>
    <t xml:space="preserve">Employee Monthly Cost (EE Only)</t>
  </si>
  <si>
    <t xml:space="preserve">Total Annual Employer Cost (All EEs, EE Only)</t>
  </si>
  <si>
    <t xml:space="preserve">Annual Cost Per Employee (Employer)</t>
  </si>
  <si>
    <t xml:space="preserve">Annual Savings vs. Plan A</t>
  </si>
  <si>
    <t xml:space="preserve">RECOMMENDATION SUMMARY</t>
  </si>
  <si>
    <t xml:space="preserve">Blue text = Input cell (you enter these)</t>
  </si>
  <si>
    <t xml:space="preserve">Black text = Calculated (do not edit)</t>
  </si>
  <si>
    <t xml:space="preserve">Green = Savings vs. current plan</t>
  </si>
  <si>
    <t xml:space="preserve">HOW TO USE THIS CALCULATOR</t>
  </si>
  <si>
    <t xml:space="preserve">STEP 1: Enter company details</t>
  </si>
  <si>
    <t xml:space="preserve">Fill in the blue cells in the 'Company Information' section: employee count, budget, and desired employer contribution %.</t>
  </si>
  <si>
    <t xml:space="preserve">STEP 2: Enter plan premiums</t>
  </si>
  <si>
    <t xml:space="preserve">Get the monthly premium quotes from each carrier and enter them in the blue cells under each Plan column.</t>
  </si>
  <si>
    <t xml:space="preserve">STEP 3: Review calculated results</t>
  </si>
  <si>
    <t xml:space="preserve">The 'Calculated Results' section auto-updates. Look at the 'Annual Savings vs. Plan A' row to see which option saves the most.</t>
  </si>
  <si>
    <t xml:space="preserve">STEP 4: Use in client meetings</t>
  </si>
  <si>
    <t xml:space="preserve">Screen-share or print this sheet during your renewal review meeting. The Recommendation Summary box creates an instant talking point.</t>
  </si>
  <si>
    <t xml:space="preserve">STEP 5: Save a copy per client</t>
  </si>
  <si>
    <t xml:space="preserve">Save a separate version of this file for each client: 'BenefitsCalc_AcmeLandscaping_2025.xlsx'</t>
  </si>
  <si>
    <t xml:space="preserve">PRO TIP: Bundle with your proposal</t>
  </si>
  <si>
    <t xml:space="preserve">Attach this calculator to your benefits proposal PDF. It shows your work and demonstrates the ROI of switching plans — a powerful trust builder.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</si>
</sst>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B7C8D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8"/>
      <color rgb="FF00008B"/>
      <name val="Arial"/>
      <family val="0"/>
      <charset val="1"/>
    </font>
    <font>
      <b val="true"/>
      <sz val="8"/>
      <color rgb="FF2C3E50"/>
      <name val="Arial"/>
      <family val="0"/>
      <charset val="1"/>
    </font>
    <font>
      <b val="true"/>
      <sz val="8"/>
      <color rgb="FF27AE60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1B8A8F"/>
        <bgColor rgb="FF008080"/>
      </patternFill>
    </fill>
    <fill>
      <patternFill patternType="solid">
        <fgColor rgb="FFF0F6F9"/>
        <bgColor rgb="FFFDF3E3"/>
      </patternFill>
    </fill>
    <fill>
      <patternFill patternType="solid">
        <fgColor rgb="FFFDF3E3"/>
        <bgColor rgb="FFF0F6F9"/>
      </patternFill>
    </fill>
    <fill>
      <patternFill patternType="solid">
        <fgColor rgb="FFFFFFFF"/>
        <bgColor rgb="FFF0F6F9"/>
      </patternFill>
    </fill>
    <fill>
      <patternFill patternType="solid">
        <fgColor rgb="FFE8A020"/>
        <bgColor rgb="FFFFCC00"/>
      </patternFill>
    </fill>
    <fill>
      <patternFill patternType="solid">
        <fgColor rgb="FFFADBD8"/>
        <bgColor rgb="FFFDF3E3"/>
      </patternFill>
    </fill>
    <fill>
      <patternFill patternType="solid">
        <fgColor rgb="FFD5F5E3"/>
        <bgColor rgb="FFD0ECEE"/>
      </patternFill>
    </fill>
    <fill>
      <patternFill patternType="solid">
        <fgColor rgb="FFD0ECEE"/>
        <bgColor rgb="FFD5F5E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B8A8F"/>
      </left>
      <right/>
      <top style="thin">
        <color rgb="FF1B8A8F"/>
      </top>
      <bottom style="thin">
        <color rgb="FF1B8A8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8A020"/>
      </left>
      <right style="thin">
        <color rgb="FFE8A020"/>
      </right>
      <top style="thin">
        <color rgb="FFE8A020"/>
      </top>
      <bottom style="thin">
        <color rgb="FFE8A020"/>
      </bottom>
      <diagonal/>
    </border>
    <border diagonalUp="false" diagonalDown="false">
      <left style="thin">
        <color rgb="FF1A3A5C"/>
      </left>
      <right/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1B8A8F"/>
      </left>
      <right style="thin">
        <color rgb="FF1B8A8F"/>
      </right>
      <top style="thin">
        <color rgb="FF1B8A8F"/>
      </top>
      <bottom style="thin">
        <color rgb="FF1B8A8F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7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6" borderId="7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9" fillId="9" borderId="7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1B8A8F"/>
      <rgbColor rgb="FFCCCCCC"/>
      <rgbColor rgb="FF6B7C8D"/>
      <rgbColor rgb="FF9999FF"/>
      <rgbColor rgb="FF993366"/>
      <rgbColor rgb="FFFDF3E3"/>
      <rgbColor rgb="FFD0EC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6F9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E8A020"/>
      <rgbColor rgb="FFFF6600"/>
      <rgbColor rgb="FF666699"/>
      <rgbColor rgb="FFAAAAAA"/>
      <rgbColor rgb="FF1A3A5C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43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7.5" hidden="false" customHeight="true" outlineLevel="0" collapsed="false">
      <c r="B3" s="3"/>
      <c r="C3" s="3"/>
      <c r="D3" s="3"/>
      <c r="E3" s="3"/>
      <c r="F3" s="3"/>
      <c r="G3" s="3"/>
    </row>
    <row r="4" customFormat="false" ht="25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9.5" hidden="false" customHeight="true" outlineLevel="0" collapsed="false">
      <c r="B5" s="5" t="s">
        <v>3</v>
      </c>
      <c r="C5" s="6" t="s">
        <v>4</v>
      </c>
    </row>
    <row r="6" customFormat="false" ht="21.75" hidden="false" customHeight="true" outlineLevel="0" collapsed="false">
      <c r="B6" s="5" t="s">
        <v>5</v>
      </c>
      <c r="C6" s="6" t="n">
        <v>12</v>
      </c>
    </row>
    <row r="7" customFormat="false" ht="21.75" hidden="false" customHeight="true" outlineLevel="0" collapsed="false">
      <c r="B7" s="5" t="s">
        <v>6</v>
      </c>
      <c r="C7" s="6" t="n">
        <v>38</v>
      </c>
    </row>
    <row r="8" customFormat="false" ht="21.75" hidden="false" customHeight="true" outlineLevel="0" collapsed="false">
      <c r="B8" s="5" t="s">
        <v>7</v>
      </c>
      <c r="C8" s="6" t="s">
        <v>8</v>
      </c>
    </row>
    <row r="9" customFormat="false" ht="21.75" hidden="false" customHeight="true" outlineLevel="0" collapsed="false">
      <c r="B9" s="5" t="s">
        <v>9</v>
      </c>
      <c r="C9" s="7" t="n">
        <v>72000</v>
      </c>
    </row>
    <row r="10" customFormat="false" ht="21.75" hidden="false" customHeight="true" outlineLevel="0" collapsed="false">
      <c r="B10" s="5" t="s">
        <v>10</v>
      </c>
      <c r="C10" s="8" t="n">
        <v>0.75</v>
      </c>
    </row>
    <row r="11" customFormat="false" ht="21.75" hidden="false" customHeight="true" outlineLevel="0" collapsed="false"/>
    <row r="12" customFormat="false" ht="7.5" hidden="false" customHeight="true" outlineLevel="0" collapsed="false">
      <c r="B12" s="9" t="s">
        <v>11</v>
      </c>
      <c r="C12" s="9"/>
      <c r="D12" s="9"/>
      <c r="E12" s="9"/>
      <c r="F12" s="9"/>
      <c r="G12" s="9"/>
    </row>
    <row r="13" customFormat="false" ht="25.5" hidden="false" customHeight="true" outlineLevel="0" collapsed="false">
      <c r="B13" s="10" t="s">
        <v>12</v>
      </c>
      <c r="C13" s="11" t="s">
        <v>13</v>
      </c>
      <c r="D13" s="11" t="s">
        <v>14</v>
      </c>
      <c r="E13" s="11" t="s">
        <v>15</v>
      </c>
      <c r="F13" s="11" t="s">
        <v>16</v>
      </c>
      <c r="G13" s="10" t="s">
        <v>17</v>
      </c>
    </row>
    <row r="14" customFormat="false" ht="21.75" hidden="false" customHeight="true" outlineLevel="0" collapsed="false">
      <c r="B14" s="5" t="s">
        <v>18</v>
      </c>
      <c r="C14" s="12" t="s">
        <v>19</v>
      </c>
      <c r="D14" s="12" t="s">
        <v>20</v>
      </c>
      <c r="E14" s="12" t="s">
        <v>21</v>
      </c>
      <c r="F14" s="12" t="s">
        <v>22</v>
      </c>
      <c r="G14" s="13"/>
    </row>
    <row r="15" customFormat="false" ht="21.75" hidden="false" customHeight="true" outlineLevel="0" collapsed="false">
      <c r="B15" s="14" t="s">
        <v>23</v>
      </c>
      <c r="C15" s="12" t="s">
        <v>24</v>
      </c>
      <c r="D15" s="12" t="s">
        <v>25</v>
      </c>
      <c r="E15" s="12" t="s">
        <v>26</v>
      </c>
      <c r="F15" s="12" t="s">
        <v>24</v>
      </c>
      <c r="G15" s="15"/>
    </row>
    <row r="16" customFormat="false" ht="21.75" hidden="false" customHeight="true" outlineLevel="0" collapsed="false">
      <c r="B16" s="5" t="s">
        <v>27</v>
      </c>
      <c r="C16" s="7" t="n">
        <v>320</v>
      </c>
      <c r="D16" s="7" t="n">
        <v>275</v>
      </c>
      <c r="E16" s="7" t="n">
        <v>210</v>
      </c>
      <c r="F16" s="7" t="n">
        <v>305</v>
      </c>
      <c r="G16" s="13" t="s">
        <v>28</v>
      </c>
    </row>
    <row r="17" customFormat="false" ht="21.75" hidden="false" customHeight="true" outlineLevel="0" collapsed="false">
      <c r="B17" s="14" t="s">
        <v>29</v>
      </c>
      <c r="C17" s="7" t="n">
        <v>680</v>
      </c>
      <c r="D17" s="7" t="n">
        <v>590</v>
      </c>
      <c r="E17" s="7" t="n">
        <v>450</v>
      </c>
      <c r="F17" s="7" t="n">
        <v>645</v>
      </c>
      <c r="G17" s="15" t="s">
        <v>30</v>
      </c>
    </row>
    <row r="18" customFormat="false" ht="21.75" hidden="false" customHeight="true" outlineLevel="0" collapsed="false">
      <c r="B18" s="5" t="s">
        <v>31</v>
      </c>
      <c r="C18" s="7" t="n">
        <v>920</v>
      </c>
      <c r="D18" s="7" t="n">
        <v>795</v>
      </c>
      <c r="E18" s="7" t="n">
        <v>610</v>
      </c>
      <c r="F18" s="7" t="n">
        <v>875</v>
      </c>
      <c r="G18" s="13" t="s">
        <v>32</v>
      </c>
    </row>
    <row r="19" customFormat="false" ht="21.75" hidden="false" customHeight="true" outlineLevel="0" collapsed="false">
      <c r="B19" s="14" t="s">
        <v>33</v>
      </c>
      <c r="C19" s="7" t="n">
        <v>1500</v>
      </c>
      <c r="D19" s="7" t="n">
        <v>2000</v>
      </c>
      <c r="E19" s="7" t="n">
        <v>3000</v>
      </c>
      <c r="F19" s="7" t="n">
        <v>1500</v>
      </c>
      <c r="G19" s="15" t="s">
        <v>34</v>
      </c>
    </row>
    <row r="20" customFormat="false" ht="7.5" hidden="false" customHeight="true" outlineLevel="0" collapsed="false">
      <c r="B20" s="14" t="s">
        <v>35</v>
      </c>
      <c r="C20" s="14"/>
      <c r="D20" s="14"/>
      <c r="E20" s="14"/>
      <c r="F20" s="14"/>
      <c r="G20" s="14"/>
    </row>
    <row r="21" customFormat="false" ht="25.5" hidden="false" customHeight="true" outlineLevel="0" collapsed="false">
      <c r="B21" s="16" t="s">
        <v>36</v>
      </c>
      <c r="C21" s="16"/>
      <c r="D21" s="16"/>
      <c r="E21" s="16"/>
      <c r="F21" s="16"/>
      <c r="G21" s="16"/>
    </row>
    <row r="22" customFormat="false" ht="21.75" hidden="false" customHeight="true" outlineLevel="0" collapsed="false">
      <c r="B22" s="17" t="s">
        <v>37</v>
      </c>
      <c r="C22" s="18" t="n">
        <f aca="false">C$16*C$10</f>
        <v>240</v>
      </c>
      <c r="D22" s="18" t="n">
        <f aca="false">D$16*D$10</f>
        <v>0</v>
      </c>
      <c r="E22" s="18" t="n">
        <f aca="false">E$16*E$10</f>
        <v>0</v>
      </c>
      <c r="F22" s="18" t="n">
        <f aca="false">F$16*F$10</f>
        <v>0</v>
      </c>
    </row>
    <row r="23" customFormat="false" ht="21.75" hidden="false" customHeight="true" outlineLevel="0" collapsed="false">
      <c r="B23" s="19" t="s">
        <v>38</v>
      </c>
      <c r="C23" s="20" t="n">
        <f aca="false">C$16*(1-C$10)</f>
        <v>80</v>
      </c>
      <c r="D23" s="20" t="n">
        <f aca="false">D$16*(1-D$10)</f>
        <v>275</v>
      </c>
      <c r="E23" s="20" t="n">
        <f aca="false">E$16*(1-E$10)</f>
        <v>210</v>
      </c>
      <c r="F23" s="20" t="n">
        <f aca="false">F$16*(1-F$10)</f>
        <v>305</v>
      </c>
    </row>
    <row r="24" customFormat="false" ht="21.75" hidden="false" customHeight="true" outlineLevel="0" collapsed="false">
      <c r="B24" s="17" t="s">
        <v>39</v>
      </c>
      <c r="C24" s="18" t="n">
        <f aca="false">C22*12*$C$6</f>
        <v>34560</v>
      </c>
      <c r="D24" s="18" t="n">
        <f aca="false">D22*12*$C$6</f>
        <v>0</v>
      </c>
      <c r="E24" s="18" t="n">
        <f aca="false">E22*12*$C$6</f>
        <v>0</v>
      </c>
      <c r="F24" s="18" t="n">
        <f aca="false">F22*12*$C$6</f>
        <v>0</v>
      </c>
    </row>
    <row r="25" customFormat="false" ht="21.75" hidden="false" customHeight="true" outlineLevel="0" collapsed="false">
      <c r="B25" s="19" t="s">
        <v>40</v>
      </c>
      <c r="C25" s="20" t="n">
        <f aca="false">C24/$C$6</f>
        <v>2880</v>
      </c>
      <c r="D25" s="20" t="n">
        <f aca="false">D24/$C$6</f>
        <v>0</v>
      </c>
      <c r="E25" s="20" t="n">
        <f aca="false">E24/$C$6</f>
        <v>0</v>
      </c>
      <c r="F25" s="20" t="n">
        <f aca="false">F24/$C$6</f>
        <v>0</v>
      </c>
    </row>
    <row r="26" customFormat="false" ht="21.75" hidden="false" customHeight="true" outlineLevel="0" collapsed="false">
      <c r="B26" s="17" t="s">
        <v>41</v>
      </c>
      <c r="C26" s="21" t="n">
        <f aca="false">C24-C24</f>
        <v>0</v>
      </c>
      <c r="D26" s="22" t="n">
        <f aca="false">C24-D24</f>
        <v>34560</v>
      </c>
      <c r="E26" s="22" t="n">
        <f aca="false">C24-E24</f>
        <v>34560</v>
      </c>
      <c r="F26" s="22" t="n">
        <f aca="false">C24-F24</f>
        <v>34560</v>
      </c>
    </row>
    <row r="27" customFormat="false" ht="7.5" hidden="false" customHeight="true" outlineLevel="0" collapsed="false">
      <c r="B27" s="23"/>
      <c r="C27" s="23"/>
      <c r="D27" s="23"/>
      <c r="E27" s="23"/>
      <c r="F27" s="23"/>
      <c r="G27" s="23"/>
    </row>
    <row r="28" customFormat="false" ht="30" hidden="false" customHeight="true" outlineLevel="0" collapsed="false">
      <c r="B28" s="9" t="s">
        <v>42</v>
      </c>
      <c r="C28" s="9"/>
      <c r="D28" s="9"/>
      <c r="E28" s="9"/>
      <c r="F28" s="9"/>
      <c r="G28" s="9"/>
    </row>
    <row r="29" customFormat="false" ht="36" hidden="false" customHeight="true" outlineLevel="0" collapsed="false">
      <c r="B29" s="24" t="str">
        <f aca="false">IF(MIN(C24,D24,E24,F24)=C24,"✓ Plan A (Current) has the lowest employer cost — consider keeping but review coverage quality","⚡ A lower-cost option exists — see savings row above. Schedule a review call to present options.")</f>
        <v>⚡ A lower-cost option exists — see savings row above. Schedule a review call to present options.</v>
      </c>
      <c r="C29" s="24"/>
      <c r="D29" s="24"/>
      <c r="E29" s="24"/>
      <c r="F29" s="24"/>
      <c r="G29" s="24"/>
    </row>
    <row r="30" customFormat="false" ht="27.75" hidden="false" customHeight="true" outlineLevel="0" collapsed="false">
      <c r="B30" s="25" t="str">
        <f aca="false">"Best value plan: "&amp;IF(MIN(C24,D24,E24,F24)=C24,C14,IF(MIN(C24,D24,E24,F24)=D24,D14,IF(MIN(C24,D24,E24,F24)=E24,E14,F14)))&amp;"  |  Max annual savings available: $"&amp;TEXT(MAX(C26,D26,E26,F26),"#,##0")</f>
        <v>Best value plan: Aetna HMO  |  Max annual savings available: $34,560</v>
      </c>
      <c r="C30" s="25"/>
      <c r="D30" s="25"/>
      <c r="E30" s="25"/>
      <c r="F30" s="25"/>
      <c r="G30" s="25"/>
    </row>
    <row r="31" customFormat="false" ht="21.75" hidden="false" customHeight="true" outlineLevel="0" collapsed="false"/>
    <row r="32" customFormat="false" ht="18" hidden="false" customHeight="true" outlineLevel="0" collapsed="false">
      <c r="B32" s="26" t="s">
        <v>43</v>
      </c>
      <c r="C32" s="26"/>
      <c r="D32" s="26"/>
      <c r="E32" s="26"/>
      <c r="F32" s="26"/>
      <c r="G32" s="26"/>
    </row>
    <row r="33" customFormat="false" ht="18" hidden="false" customHeight="true" outlineLevel="0" collapsed="false">
      <c r="B33" s="27" t="s">
        <v>44</v>
      </c>
      <c r="C33" s="27"/>
      <c r="D33" s="27"/>
      <c r="E33" s="27"/>
      <c r="F33" s="27"/>
      <c r="G33" s="27"/>
    </row>
    <row r="34" customFormat="false" ht="18" hidden="false" customHeight="true" outlineLevel="0" collapsed="false">
      <c r="B34" s="28" t="s">
        <v>45</v>
      </c>
      <c r="C34" s="28"/>
      <c r="D34" s="28"/>
      <c r="E34" s="28"/>
      <c r="F34" s="28"/>
      <c r="G34" s="28"/>
    </row>
    <row r="35" customFormat="false" ht="21.75" hidden="false" customHeight="true" outlineLevel="0" collapsed="false"/>
  </sheetData>
  <mergeCells count="14">
    <mergeCell ref="B1:G1"/>
    <mergeCell ref="B2:G2"/>
    <mergeCell ref="B3:G3"/>
    <mergeCell ref="B4:G4"/>
    <mergeCell ref="B12:G12"/>
    <mergeCell ref="B20:G20"/>
    <mergeCell ref="B21:G21"/>
    <mergeCell ref="B27:G27"/>
    <mergeCell ref="B28:G28"/>
    <mergeCell ref="B29:G29"/>
    <mergeCell ref="B30:G30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37.5" hidden="false" customHeight="true" outlineLevel="0" collapsed="false">
      <c r="B1" s="29" t="s">
        <v>46</v>
      </c>
      <c r="C1" s="29"/>
    </row>
    <row r="2" customFormat="false" ht="6" hidden="false" customHeight="true" outlineLevel="0" collapsed="false">
      <c r="B2" s="3"/>
      <c r="C2" s="3"/>
    </row>
    <row r="4" customFormat="false" ht="21.75" hidden="false" customHeight="true" outlineLevel="0" collapsed="false">
      <c r="B4" s="30" t="s">
        <v>47</v>
      </c>
      <c r="C4" s="31" t="s">
        <v>48</v>
      </c>
    </row>
    <row r="5" customFormat="false" ht="21.75" hidden="false" customHeight="true" outlineLevel="0" collapsed="false">
      <c r="B5" s="32" t="s">
        <v>49</v>
      </c>
      <c r="C5" s="33" t="s">
        <v>50</v>
      </c>
    </row>
    <row r="6" customFormat="false" ht="21.75" hidden="false" customHeight="true" outlineLevel="0" collapsed="false">
      <c r="B6" s="30" t="s">
        <v>51</v>
      </c>
      <c r="C6" s="31" t="s">
        <v>52</v>
      </c>
    </row>
    <row r="7" customFormat="false" ht="21.75" hidden="false" customHeight="true" outlineLevel="0" collapsed="false">
      <c r="B7" s="32" t="s">
        <v>53</v>
      </c>
      <c r="C7" s="33" t="s">
        <v>54</v>
      </c>
    </row>
    <row r="8" customFormat="false" ht="21.75" hidden="false" customHeight="true" outlineLevel="0" collapsed="false">
      <c r="B8" s="30" t="s">
        <v>55</v>
      </c>
      <c r="C8" s="31" t="s">
        <v>56</v>
      </c>
    </row>
    <row r="9" customFormat="false" ht="21.75" hidden="false" customHeight="true" outlineLevel="0" collapsed="false">
      <c r="B9" s="32" t="s">
        <v>57</v>
      </c>
      <c r="C9" s="33" t="s">
        <v>58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2026-05-08T22:49:13Z</dcterms:created>
  <dc:creator>openpyxl</dc:creator>
  <dc:description/>
  <dc:language>en-US</dc:language>
  <cp:lastModifiedBy/>
  <dcterms:modified xsi:type="dcterms:W3CDTF">2026-05-08T22:49:13Z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