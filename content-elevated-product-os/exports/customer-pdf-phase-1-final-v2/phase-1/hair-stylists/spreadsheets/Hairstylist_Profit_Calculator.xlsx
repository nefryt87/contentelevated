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- Service Pricing" sheetId="2" state="visible" r:id="rId4"/>
    <sheet name="2 - Break-Even Tracker" sheetId="3" state="visible" r:id="rId5"/>
    <sheet name="3 - Service Menu Planner" sheetId="4" state="visible" r:id="rId6"/>
    <sheet name="4 - Profit Goal Set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<sst xmlns="http://schemas.openxmlformats.org/spreadsheetml/2006/main" count="162" uniqueCount="142">
  <si>
    <t xml:space="preserve">HAIRSTYLIST COMPLETE GROWTH BUNDLE</t>
  </si>
  <si>
    <t xml:space="preserve">Profit Calculator</t>
  </si>
  <si>
    <t xml:space="preserve">Know Your Numbers. Price With Confidence. Keep More Money.</t>
  </si>
  <si>
    <t xml:space="preserve">HOW TO USE THIS CALCULATOR</t>
  </si>
  <si>
    <t xml:space="preserve">Tab</t>
  </si>
  <si>
    <t xml:space="preserve">Sheet Name</t>
  </si>
  <si>
    <t xml:space="preserve">What It Does</t>
  </si>
  <si>
    <t xml:space="preserve">1</t>
  </si>
  <si>
    <t xml:space="preserve">1 - Service Pricing</t>
  </si>
  <si>
    <t xml:space="preserve">Start here. Enter your supply costs and service durations. See your true price floor, recommended price, and margin status for every service. Identifies any service you're currently undercharging for.</t>
  </si>
  <si>
    <t xml:space="preserve">2</t>
  </si>
  <si>
    <t xml:space="preserve">2 - Break-Even Tracker</t>
  </si>
  <si>
    <t xml:space="preserve">Enter your monthly expenses. The tracker calculates exactly how many services you need to perform each month just to cover your costs — and what every additional service earns you.</t>
  </si>
  <si>
    <t xml:space="preserve">3</t>
  </si>
  <si>
    <t xml:space="preserve">3 - Service Menu Planner</t>
  </si>
  <si>
    <t xml:space="preserve">Your complete menu overview. Price floors auto-pull from Tab 1. Enter your current prices and see ✅ Healthy / ⚠️ Low Margin / 🚨 Below Floor status for every service at a glance.</t>
  </si>
  <si>
    <t xml:space="preserve">4</t>
  </si>
  <si>
    <t xml:space="preserve">4 - Profit Goal Setter</t>
  </si>
  <si>
    <t xml:space="preserve">Work backward from your income goal. Enter what you want to take home and your schedule — the calculator tells you exactly how many clients per week you need and shows you the 3 levers to close any gap.</t>
  </si>
  <si>
    <t xml:space="preserve">COLOR CODING GUIDE</t>
  </si>
  <si>
    <t xml:space="preserve">Aa</t>
  </si>
  <si>
    <t xml:space="preserve">BLUE TEXT on light background</t>
  </si>
  <si>
    <t xml:space="preserve">Input cell — enter your data here</t>
  </si>
  <si>
    <t xml:space="preserve">BLACK TEXT on white background</t>
  </si>
  <si>
    <t xml:space="preserve">Formula cell — calculates automatically, do not edit</t>
  </si>
  <si>
    <t xml:space="preserve">GREEN TEXT</t>
  </si>
  <si>
    <t xml:space="preserve">Cross-sheet link — pulls data from another tab automatically</t>
  </si>
  <si>
    <t xml:space="preserve">QUICK START — DO THIS FIRST</t>
  </si>
  <si>
    <t xml:space="preserve">Step 1</t>
  </si>
  <si>
    <t xml:space="preserve">Go to Tab 1 (Service Pricing). Enter your top 5 services — supply cost, duration, and your current price. Check the Status column immediately.</t>
  </si>
  <si>
    <t xml:space="preserve">Step 2</t>
  </si>
  <si>
    <t xml:space="preserve">Go to Tab 2 (Break-Even). Enter all your monthly expenses. Note your break-even service count.</t>
  </si>
  <si>
    <t xml:space="preserve">Step 3</t>
  </si>
  <si>
    <t xml:space="preserve">Go to Tab 3 (Menu Planner). Review the full menu status. Any 🚨 Below Floor services need a price fix before anything else.</t>
  </si>
  <si>
    <t xml:space="preserve">Step 4</t>
  </si>
  <si>
    <t xml:space="preserve">Go to Tab 4 (Goal Setter). Enter your income goal and schedule. Identify which lever — ticket, volume, or days — gets you there fastest.</t>
  </si>
  <si>
    <t xml:space="preserve">© 2026 · Hairstylist Complete Growth Bundle · All rights reserved · For single-business use only</t>
  </si>
  <si>
    <t xml:space="preserve">TAB 1 — Service Pricing Calculator</t>
  </si>
  <si>
    <t xml:space="preserve">Enter your details in BLUE cells. All other cells calculate automatically.  |  Blue = Input   Black = Formula   Green = Cross-sheet link</t>
  </si>
  <si>
    <t xml:space="preserve">GLOBAL ASSUMPTIONS (apply to all services)</t>
  </si>
  <si>
    <t xml:space="preserve">Target Hourly Rate ($/hr)</t>
  </si>
  <si>
    <t xml:space="preserve">Overhead Per Hour ($/hr)</t>
  </si>
  <si>
    <t xml:space="preserve">Recommended Margin %</t>
  </si>
  <si>
    <t xml:space="preserve">SERVICE PRICING TABLE</t>
  </si>
  <si>
    <t xml:space="preserve">Service Name</t>
  </si>
  <si>
    <t xml:space="preserve">Supply Cost ($)</t>
  </si>
  <si>
    <t xml:space="preserve">Duration (min)</t>
  </si>
  <si>
    <t xml:space="preserve">Price Floor ($)</t>
  </si>
  <si>
    <t xml:space="preserve">Rec. Price (+20%)</t>
  </si>
  <si>
    <t xml:space="preserve">Your Current Price ($)</t>
  </si>
  <si>
    <t xml:space="preserve">Margin ($)</t>
  </si>
  <si>
    <t xml:space="preserve">Margin (%)</t>
  </si>
  <si>
    <t xml:space="preserve">Status</t>
  </si>
  <si>
    <t xml:space="preserve">Full Balayage</t>
  </si>
  <si>
    <t xml:space="preserve">Root Touch-Up</t>
  </si>
  <si>
    <t xml:space="preserve">Full Highlights</t>
  </si>
  <si>
    <t xml:space="preserve">Women's Cut &amp; Style</t>
  </si>
  <si>
    <t xml:space="preserve">Men's Cut</t>
  </si>
  <si>
    <t xml:space="preserve">Keratin Treatment</t>
  </si>
  <si>
    <t xml:space="preserve">Color Correction</t>
  </si>
  <si>
    <t xml:space="preserve">Gloss / Toner</t>
  </si>
  <si>
    <t xml:space="preserve">Blowout</t>
  </si>
  <si>
    <t xml:space="preserve">Deep Conditioning</t>
  </si>
  <si>
    <t xml:space="preserve">SUMMARY</t>
  </si>
  <si>
    <t xml:space="preserve">Services Priced</t>
  </si>
  <si>
    <t xml:space="preserve">Services Below Floor</t>
  </si>
  <si>
    <t xml:space="preserve">Services Low Margin</t>
  </si>
  <si>
    <t xml:space="preserve">Services Healthy</t>
  </si>
  <si>
    <t xml:space="preserve">Average Current Price</t>
  </si>
  <si>
    <t xml:space="preserve">Average Margin %</t>
  </si>
  <si>
    <t xml:space="preserve">TAB 2 — Break-Even Tracker</t>
  </si>
  <si>
    <t xml:space="preserve">Enter your monthly expenses in BLUE cells. The tracker calculates how many services you need to break even.</t>
  </si>
  <si>
    <t xml:space="preserve">MONTHLY FIXED EXPENSES</t>
  </si>
  <si>
    <t xml:space="preserve">Expense Category</t>
  </si>
  <si>
    <t xml:space="preserve">Monthly Amount ($)</t>
  </si>
  <si>
    <t xml:space="preserve">Notes</t>
  </si>
  <si>
    <t xml:space="preserve">Booth Rent / Chair Rent</t>
  </si>
  <si>
    <t xml:space="preserve">Product &amp; Supply Budget</t>
  </si>
  <si>
    <t xml:space="preserve">Software Subscriptions</t>
  </si>
  <si>
    <t xml:space="preserve">Education &amp; Training</t>
  </si>
  <si>
    <t xml:space="preserve">Marketing Budget</t>
  </si>
  <si>
    <t xml:space="preserve">Health Insurance / Benefits</t>
  </si>
  <si>
    <t xml:space="preserve">Phone (business use portion)</t>
  </si>
  <si>
    <t xml:space="preserve">Miscellaneous / Buffer (10%)</t>
  </si>
  <si>
    <t xml:space="preserve">TOTAL MONTHLY EXPENSES</t>
  </si>
  <si>
    <t xml:space="preserve">BREAK-EVEN INPUTS</t>
  </si>
  <si>
    <t xml:space="preserve">Average Revenue Per Service ($)</t>
  </si>
  <si>
    <t xml:space="preserve">Working Days Per Month</t>
  </si>
  <si>
    <t xml:space="preserve">Average Clients Per Day</t>
  </si>
  <si>
    <t xml:space="preserve">BREAK-EVEN RESULTS</t>
  </si>
  <si>
    <t xml:space="preserve">Break-Even Services Per Month</t>
  </si>
  <si>
    <t xml:space="preserve">Break-Even Services Per Week</t>
  </si>
  <si>
    <t xml:space="preserve">Break-Even Services Per Day</t>
  </si>
  <si>
    <t xml:space="preserve">Total Revenue at Full Capacity</t>
  </si>
  <si>
    <t xml:space="preserve">Profit at Full Capacity</t>
  </si>
  <si>
    <t xml:space="preserve">Days to Break-Even</t>
  </si>
  <si>
    <t xml:space="preserve">Utilization Rate Needed</t>
  </si>
  <si>
    <t xml:space="preserve">Profit Per Service Above Break-Even</t>
  </si>
  <si>
    <t xml:space="preserve">TAB 3 — Service Menu Planner</t>
  </si>
  <si>
    <t xml:space="preserve">Full menu overview. Price floors auto-link from Tab 1. Enter your current prices in BLUE. Status flags highlight where margins need attention.</t>
  </si>
  <si>
    <t xml:space="preserve">FULL SERVICE MENU</t>
  </si>
  <si>
    <t xml:space="preserve">Category</t>
  </si>
  <si>
    <t xml:space="preserve">Rec. Price ($)</t>
  </si>
  <si>
    <t xml:space="preserve">Your Price ($)</t>
  </si>
  <si>
    <t xml:space="preserve">Color</t>
  </si>
  <si>
    <t xml:space="preserve">Cut</t>
  </si>
  <si>
    <t xml:space="preserve">Treatment</t>
  </si>
  <si>
    <t xml:space="preserve">Style</t>
  </si>
  <si>
    <t xml:space="preserve">MENU SUMMARY</t>
  </si>
  <si>
    <t xml:space="preserve">Total Services on Menu</t>
  </si>
  <si>
    <t xml:space="preserve">🚨 Below Floor</t>
  </si>
  <si>
    <t xml:space="preserve">⚠️ Low Margin</t>
  </si>
  <si>
    <t xml:space="preserve">✅ Healthy</t>
  </si>
  <si>
    <t xml:space="preserve">Average Price</t>
  </si>
  <si>
    <t xml:space="preserve">Highest Margin Service</t>
  </si>
  <si>
    <t xml:space="preserve">Lowest Margin Service</t>
  </si>
  <si>
    <t xml:space="preserve">TAB 4 — Monthly Profit Goal Setter</t>
  </si>
  <si>
    <t xml:space="preserve">Start with your income goal. This tab works backward to tell you exactly what you need to do each week to get there.</t>
  </si>
  <si>
    <t xml:space="preserve">STEP 1 — YOUR INCOME GOAL</t>
  </si>
  <si>
    <t xml:space="preserve">Target Take-Home Income ($/month)</t>
  </si>
  <si>
    <t xml:space="preserve">Total Monthly Expenses ($)</t>
  </si>
  <si>
    <t xml:space="preserve">Target Gross Revenue Needed ($/month)</t>
  </si>
  <si>
    <t xml:space="preserve">STEP 2 — YOUR SCHEDULE</t>
  </si>
  <si>
    <t xml:space="preserve">Working Days Per Week</t>
  </si>
  <si>
    <t xml:space="preserve">Appointment Hours Per Day</t>
  </si>
  <si>
    <t xml:space="preserve">Average Appointment Length (min)</t>
  </si>
  <si>
    <t xml:space="preserve">STEP 3 — WHAT YOU NEED TO DO</t>
  </si>
  <si>
    <t xml:space="preserve">Available Appointments Per Month</t>
  </si>
  <si>
    <t xml:space="preserve">Total Available Monthly Revenue</t>
  </si>
  <si>
    <t xml:space="preserve">Clients Needed Per Month</t>
  </si>
  <si>
    <t xml:space="preserve">Clients Needed Per Week</t>
  </si>
  <si>
    <t xml:space="preserve">Clients Needed Per Day</t>
  </si>
  <si>
    <t xml:space="preserve">Required Utilization Rate</t>
  </si>
  <si>
    <t xml:space="preserve">Daily Revenue Target</t>
  </si>
  <si>
    <t xml:space="preserve">Weekly Revenue Target</t>
  </si>
  <si>
    <t xml:space="preserve">GAP ANALYSIS — THE 3 LEVERS</t>
  </si>
  <si>
    <t xml:space="preserve">Lever</t>
  </si>
  <si>
    <t xml:space="preserve">Current Pace</t>
  </si>
  <si>
    <t xml:space="preserve">Needed</t>
  </si>
  <si>
    <t xml:space="preserve">Gap</t>
  </si>
  <si>
    <t xml:space="preserve">Avg Ticket (raise prices)</t>
  </si>
  <si>
    <t xml:space="preserve">Clients Per Month (fill books)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</si>
</sst>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%"/>
    <numFmt numFmtId="167" formatCode="#,##0"/>
    <numFmt numFmtId="168" formatCode="0.0%"/>
    <numFmt numFmtId="169" formatCode="\$#,##0"/>
    <numFmt numFmtId="170" formatCode="@"/>
    <numFmt numFmtId="171" formatCode="#,##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E8C4B8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E8C4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C47C5A"/>
      <name val="Arial"/>
      <family val="0"/>
      <charset val="1"/>
    </font>
    <font>
      <b val="true"/>
      <sz val="10"/>
      <color rgb="FF3D2314"/>
      <name val="Arial"/>
      <family val="0"/>
      <charset val="1"/>
    </font>
    <font>
      <sz val="9"/>
      <color rgb="FF3D231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C47C5A"/>
      <name val="Arial"/>
      <family val="0"/>
      <charset val="1"/>
    </font>
    <font>
      <sz val="8"/>
      <color rgb="FFE8C4B8"/>
      <name val="Arial"/>
      <family val="0"/>
      <charset val="1"/>
    </font>
    <font>
      <b val="true"/>
      <sz val="9"/>
      <color rgb="FFE8C4B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7A6A6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3D2314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D4A847"/>
      <name val="Arial"/>
      <family val="0"/>
      <charset val="1"/>
    </font>
    <font>
      <sz val="10"/>
      <color rgb="FF0064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D2314"/>
        <bgColor rgb="FF333333"/>
      </patternFill>
    </fill>
    <fill>
      <patternFill patternType="solid">
        <fgColor rgb="FFC47C5A"/>
        <bgColor rgb="FFD4A847"/>
      </patternFill>
    </fill>
    <fill>
      <patternFill patternType="solid">
        <fgColor rgb="FFFFFFFF"/>
        <bgColor rgb="FFFDF8F4"/>
      </patternFill>
    </fill>
    <fill>
      <patternFill patternType="solid">
        <fgColor rgb="FFF5EAE4"/>
        <bgColor rgb="FFFFF8F0"/>
      </patternFill>
    </fill>
    <fill>
      <patternFill patternType="solid">
        <fgColor rgb="FFFFF8F0"/>
        <bgColor rgb="FFFDF8F4"/>
      </patternFill>
    </fill>
    <fill>
      <patternFill patternType="solid">
        <fgColor rgb="FFFDF8F4"/>
        <bgColor rgb="FFFFF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BDB5"/>
      </left>
      <right style="thin">
        <color rgb="FFD0BDB5"/>
      </right>
      <top style="thin">
        <color rgb="FFD0BDB5"/>
      </top>
      <bottom style="thin">
        <color rgb="FFD0BDB5"/>
      </bottom>
      <diagonal/>
    </border>
    <border diagonalUp="false" diagonalDown="false">
      <left style="thin">
        <color rgb="FFD0BDB5"/>
      </left>
      <right/>
      <top style="thin">
        <color rgb="FFD0BDB5"/>
      </top>
      <bottom style="thin">
        <color rgb="FFD0BD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D0BDB5"/>
      <rgbColor rgb="FF7A6A62"/>
      <rgbColor rgb="FF9999FF"/>
      <rgbColor rgb="FF993366"/>
      <rgbColor rgb="FFFFF8F0"/>
      <rgbColor rgb="FFFDF8F4"/>
      <rgbColor rgb="FF660066"/>
      <rgbColor rgb="FFC47C5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5EAE4"/>
      <rgbColor rgb="FFFFFF99"/>
      <rgbColor rgb="FF99CCFF"/>
      <rgbColor rgb="FFFF99CC"/>
      <rgbColor rgb="FFCC99FF"/>
      <rgbColor rgb="FFE8C4B8"/>
      <rgbColor rgb="FF3366FF"/>
      <rgbColor rgb="FF33CCCC"/>
      <rgbColor rgb="FF99CC00"/>
      <rgbColor rgb="FFFFCC00"/>
      <rgbColor rgb="FFD4A847"/>
      <rgbColor rgb="FFFF6600"/>
      <rgbColor rgb="FF666699"/>
      <rgbColor rgb="FF969696"/>
      <rgbColor rgb="FF003366"/>
      <rgbColor rgb="FF339966"/>
      <rgbColor rgb="FF003300"/>
      <rgbColor rgb="FF3D23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15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">
        <v>2</v>
      </c>
      <c r="B3" s="3"/>
      <c r="C3" s="3"/>
      <c r="D3" s="3"/>
    </row>
    <row r="4" customFormat="false" ht="9.7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</row>
    <row r="6" customFormat="false" ht="21.75" hidden="false" customHeight="true" outlineLevel="0" collapsed="false">
      <c r="A6" s="5" t="s">
        <v>4</v>
      </c>
      <c r="B6" s="5" t="s">
        <v>5</v>
      </c>
      <c r="C6" s="5" t="s">
        <v>6</v>
      </c>
      <c r="D6" s="5"/>
    </row>
    <row r="7" customFormat="false" ht="51.75" hidden="false" customHeight="true" outlineLevel="0" collapsed="false">
      <c r="A7" s="6" t="s">
        <v>7</v>
      </c>
      <c r="B7" s="7" t="s">
        <v>8</v>
      </c>
      <c r="C7" s="8" t="s">
        <v>9</v>
      </c>
      <c r="D7" s="8"/>
    </row>
    <row r="8" customFormat="false" ht="51.75" hidden="false" customHeight="true" outlineLevel="0" collapsed="false">
      <c r="A8" s="9" t="s">
        <v>10</v>
      </c>
      <c r="B8" s="10" t="s">
        <v>11</v>
      </c>
      <c r="C8" s="11" t="s">
        <v>12</v>
      </c>
      <c r="D8" s="11"/>
    </row>
    <row r="9" customFormat="false" ht="51.75" hidden="false" customHeight="true" outlineLevel="0" collapsed="false">
      <c r="A9" s="6" t="s">
        <v>13</v>
      </c>
      <c r="B9" s="7" t="s">
        <v>14</v>
      </c>
      <c r="C9" s="8" t="s">
        <v>15</v>
      </c>
      <c r="D9" s="8"/>
    </row>
    <row r="10" customFormat="false" ht="51.75" hidden="false" customHeight="true" outlineLevel="0" collapsed="false">
      <c r="A10" s="9" t="s">
        <v>16</v>
      </c>
      <c r="B10" s="10" t="s">
        <v>17</v>
      </c>
      <c r="C10" s="11" t="s">
        <v>18</v>
      </c>
      <c r="D10" s="11"/>
    </row>
    <row r="11" customFormat="false" ht="9.75" hidden="false" customHeight="true" outlineLevel="0" collapsed="false"/>
    <row r="12" customFormat="false" ht="21.75" hidden="false" customHeight="true" outlineLevel="0" collapsed="false">
      <c r="A12" s="12" t="s">
        <v>19</v>
      </c>
      <c r="B12" s="12"/>
      <c r="C12" s="12"/>
      <c r="D12" s="12"/>
    </row>
    <row r="13" customFormat="false" ht="21.75" hidden="false" customHeight="true" outlineLevel="0" collapsed="false">
      <c r="A13" s="13" t="s">
        <v>20</v>
      </c>
      <c r="B13" s="14" t="s">
        <v>21</v>
      </c>
      <c r="C13" s="11" t="s">
        <v>22</v>
      </c>
      <c r="D13" s="11"/>
    </row>
    <row r="14" customFormat="false" ht="21.75" hidden="false" customHeight="true" outlineLevel="0" collapsed="false">
      <c r="A14" s="15" t="s">
        <v>20</v>
      </c>
      <c r="B14" s="16" t="s">
        <v>23</v>
      </c>
      <c r="C14" s="8" t="s">
        <v>24</v>
      </c>
      <c r="D14" s="8"/>
    </row>
    <row r="15" customFormat="false" ht="21.75" hidden="false" customHeight="true" outlineLevel="0" collapsed="false">
      <c r="A15" s="17" t="s">
        <v>20</v>
      </c>
      <c r="B15" s="18" t="s">
        <v>25</v>
      </c>
      <c r="C15" s="11" t="s">
        <v>26</v>
      </c>
      <c r="D15" s="11"/>
    </row>
    <row r="16" customFormat="false" ht="9.75" hidden="false" customHeight="true" outlineLevel="0" collapsed="false"/>
    <row r="17" customFormat="false" ht="21.75" hidden="false" customHeight="true" outlineLevel="0" collapsed="false">
      <c r="A17" s="4" t="s">
        <v>27</v>
      </c>
      <c r="B17" s="4"/>
      <c r="C17" s="4"/>
      <c r="D17" s="4"/>
    </row>
    <row r="18" customFormat="false" ht="45" hidden="false" customHeight="true" outlineLevel="0" collapsed="false">
      <c r="A18" s="19" t="s">
        <v>28</v>
      </c>
      <c r="B18" s="8" t="s">
        <v>29</v>
      </c>
      <c r="C18" s="8"/>
      <c r="D18" s="8"/>
    </row>
    <row r="19" customFormat="false" ht="45" hidden="false" customHeight="true" outlineLevel="0" collapsed="false">
      <c r="A19" s="20" t="s">
        <v>30</v>
      </c>
      <c r="B19" s="11" t="s">
        <v>31</v>
      </c>
      <c r="C19" s="11"/>
      <c r="D19" s="11"/>
    </row>
    <row r="20" customFormat="false" ht="45" hidden="false" customHeight="true" outlineLevel="0" collapsed="false">
      <c r="A20" s="19" t="s">
        <v>32</v>
      </c>
      <c r="B20" s="8" t="s">
        <v>33</v>
      </c>
      <c r="C20" s="8"/>
      <c r="D20" s="8"/>
    </row>
    <row r="21" customFormat="false" ht="45" hidden="false" customHeight="true" outlineLevel="0" collapsed="false">
      <c r="A21" s="20" t="s">
        <v>34</v>
      </c>
      <c r="B21" s="11" t="s">
        <v>35</v>
      </c>
      <c r="C21" s="11"/>
      <c r="D21" s="11"/>
    </row>
    <row r="23" customFormat="false" ht="7.5" hidden="false" customHeight="true" outlineLevel="0" collapsed="false"/>
    <row r="24" customFormat="false" ht="15" hidden="false" customHeight="true" outlineLevel="0" collapsed="false">
      <c r="A24" s="21" t="s">
        <v>36</v>
      </c>
      <c r="B24" s="21"/>
      <c r="C24" s="21"/>
      <c r="D24" s="21"/>
    </row>
  </sheetData>
  <mergeCells count="19">
    <mergeCell ref="A1:D1"/>
    <mergeCell ref="A2:D2"/>
    <mergeCell ref="A3:D3"/>
    <mergeCell ref="A5:D5"/>
    <mergeCell ref="C6:D6"/>
    <mergeCell ref="C7:D7"/>
    <mergeCell ref="C8:D8"/>
    <mergeCell ref="C9:D9"/>
    <mergeCell ref="C10:D10"/>
    <mergeCell ref="A12:D12"/>
    <mergeCell ref="C13:D13"/>
    <mergeCell ref="C14:D14"/>
    <mergeCell ref="C15:D15"/>
    <mergeCell ref="A17:D17"/>
    <mergeCell ref="B18:D18"/>
    <mergeCell ref="B19:D19"/>
    <mergeCell ref="B20:D20"/>
    <mergeCell ref="B21:D21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7" min="4" style="0" width="16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5" hidden="false" customHeight="true" outlineLevel="0" collapsed="false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customFormat="false" ht="27.75" hidden="false" customHeight="true" outlineLevel="0" collapsed="false">
      <c r="A2" s="23" t="s">
        <v>37</v>
      </c>
      <c r="B2" s="23"/>
      <c r="C2" s="23"/>
      <c r="D2" s="23"/>
      <c r="E2" s="23"/>
      <c r="F2" s="23"/>
      <c r="G2" s="23"/>
      <c r="H2" s="23"/>
      <c r="I2" s="23"/>
    </row>
    <row r="3" customFormat="false" ht="15" hidden="false" customHeight="true" outlineLevel="0" collapsed="false">
      <c r="A3" s="24" t="s">
        <v>38</v>
      </c>
      <c r="B3" s="24"/>
      <c r="C3" s="24"/>
      <c r="D3" s="24"/>
      <c r="E3" s="24"/>
      <c r="F3" s="24"/>
      <c r="G3" s="24"/>
      <c r="H3" s="24"/>
      <c r="I3" s="24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39</v>
      </c>
      <c r="B5" s="4"/>
      <c r="C5" s="4"/>
      <c r="D5" s="4"/>
      <c r="E5" s="4"/>
      <c r="F5" s="4"/>
      <c r="G5" s="4"/>
      <c r="H5" s="4"/>
      <c r="I5" s="4"/>
    </row>
    <row r="6" customFormat="false" ht="23.85" hidden="false" customHeight="false" outlineLevel="0" collapsed="false">
      <c r="A6" s="10" t="s">
        <v>40</v>
      </c>
      <c r="B6" s="25" t="n">
        <v>65</v>
      </c>
      <c r="C6" s="10" t="s">
        <v>41</v>
      </c>
      <c r="D6" s="25" t="n">
        <v>12</v>
      </c>
      <c r="E6" s="10" t="s">
        <v>42</v>
      </c>
      <c r="F6" s="26" t="n">
        <v>0.2</v>
      </c>
    </row>
    <row r="7" customFormat="false" ht="6" hidden="false" customHeight="true" outlineLevel="0" collapsed="false"/>
    <row r="8" customFormat="false" ht="21.75" hidden="false" customHeight="true" outlineLevel="0" collapsed="false">
      <c r="A8" s="4" t="s">
        <v>43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  <c r="H9" s="5" t="s">
        <v>51</v>
      </c>
      <c r="I9" s="5" t="s">
        <v>52</v>
      </c>
    </row>
    <row r="10" customFormat="false" ht="19.5" hidden="false" customHeight="true" outlineLevel="0" collapsed="false">
      <c r="A10" s="27" t="s">
        <v>53</v>
      </c>
      <c r="B10" s="25" t="n">
        <v>22</v>
      </c>
      <c r="C10" s="28" t="n">
        <v>210</v>
      </c>
      <c r="D10" s="29" t="n">
        <f aca="false">IF(B10="","",B10+(C10/60)*($B$6+$D$6))</f>
        <v>291.5</v>
      </c>
      <c r="E10" s="29" t="n">
        <f aca="false">IF(D10="","",D10*(1+$F$6))</f>
        <v>349.8</v>
      </c>
      <c r="F10" s="25" t="n">
        <v>280</v>
      </c>
      <c r="G10" s="29" t="n">
        <f aca="false">IF(OR(F10="",D10=""),"",F10-D10)</f>
        <v>-11.5</v>
      </c>
      <c r="H10" s="30" t="n">
        <f aca="false">IF(OR(F10="",F10=0),"",G10/F10)</f>
        <v>-0.0410714285714286</v>
      </c>
      <c r="I10" s="31" t="str">
        <f aca="false">IF(D10="","",IF(F10&lt;D10,"🚨 Below Floor",IF(G10/F10&lt;$F$6,"⚠️ Low Margin","✅ Healthy")))</f>
        <v>🚨 Below Floor</v>
      </c>
    </row>
    <row r="11" customFormat="false" ht="19.5" hidden="false" customHeight="true" outlineLevel="0" collapsed="false">
      <c r="A11" s="32" t="s">
        <v>54</v>
      </c>
      <c r="B11" s="25" t="n">
        <v>8</v>
      </c>
      <c r="C11" s="28" t="n">
        <v>75</v>
      </c>
      <c r="D11" s="33" t="n">
        <f aca="false">IF(B11="","",B11+(C11/60)*($B$6+$D$6))</f>
        <v>104.25</v>
      </c>
      <c r="E11" s="33" t="n">
        <f aca="false">IF(D11="","",D11*(1+$F$6))</f>
        <v>125.1</v>
      </c>
      <c r="F11" s="25" t="n">
        <v>100</v>
      </c>
      <c r="G11" s="33" t="n">
        <f aca="false">IF(OR(F11="",D11=""),"",F11-D11)</f>
        <v>-4.25</v>
      </c>
      <c r="H11" s="34" t="n">
        <f aca="false">IF(OR(F11="",F11=0),"",G11/F11)</f>
        <v>-0.0425</v>
      </c>
      <c r="I11" s="35" t="str">
        <f aca="false">IF(D11="","",IF(F11&lt;D11,"🚨 Below Floor",IF(G11/F11&lt;$F$6,"⚠️ Low Margin","✅ Healthy")))</f>
        <v>🚨 Below Floor</v>
      </c>
    </row>
    <row r="12" customFormat="false" ht="19.5" hidden="false" customHeight="true" outlineLevel="0" collapsed="false">
      <c r="A12" s="27" t="s">
        <v>55</v>
      </c>
      <c r="B12" s="25" t="n">
        <v>18</v>
      </c>
      <c r="C12" s="28" t="n">
        <v>150</v>
      </c>
      <c r="D12" s="29" t="n">
        <f aca="false">IF(B12="","",B12+(C12/60)*($B$6+$D$6))</f>
        <v>210.5</v>
      </c>
      <c r="E12" s="29" t="n">
        <f aca="false">IF(D12="","",D12*(1+$F$6))</f>
        <v>252.6</v>
      </c>
      <c r="F12" s="25" t="n">
        <v>200</v>
      </c>
      <c r="G12" s="29" t="n">
        <f aca="false">IF(OR(F12="",D12=""),"",F12-D12)</f>
        <v>-10.5</v>
      </c>
      <c r="H12" s="30" t="n">
        <f aca="false">IF(OR(F12="",F12=0),"",G12/F12)</f>
        <v>-0.0525</v>
      </c>
      <c r="I12" s="31" t="str">
        <f aca="false">IF(D12="","",IF(F12&lt;D12,"🚨 Below Floor",IF(G12/F12&lt;$F$6,"⚠️ Low Margin","✅ Healthy")))</f>
        <v>🚨 Below Floor</v>
      </c>
    </row>
    <row r="13" customFormat="false" ht="19.5" hidden="false" customHeight="true" outlineLevel="0" collapsed="false">
      <c r="A13" s="32" t="s">
        <v>56</v>
      </c>
      <c r="B13" s="25" t="n">
        <v>4</v>
      </c>
      <c r="C13" s="28" t="n">
        <v>60</v>
      </c>
      <c r="D13" s="33" t="n">
        <f aca="false">IF(B13="","",B13+(C13/60)*($B$6+$D$6))</f>
        <v>81</v>
      </c>
      <c r="E13" s="33" t="n">
        <f aca="false">IF(D13="","",D13*(1+$F$6))</f>
        <v>97.2</v>
      </c>
      <c r="F13" s="25" t="n">
        <v>80</v>
      </c>
      <c r="G13" s="33" t="n">
        <f aca="false">IF(OR(F13="",D13=""),"",F13-D13)</f>
        <v>-1</v>
      </c>
      <c r="H13" s="34" t="n">
        <f aca="false">IF(OR(F13="",F13=0),"",G13/F13)</f>
        <v>-0.0125</v>
      </c>
      <c r="I13" s="35" t="str">
        <f aca="false">IF(D13="","",IF(F13&lt;D13,"🚨 Below Floor",IF(G13/F13&lt;$F$6,"⚠️ Low Margin","✅ Healthy")))</f>
        <v>🚨 Below Floor</v>
      </c>
    </row>
    <row r="14" customFormat="false" ht="19.5" hidden="false" customHeight="true" outlineLevel="0" collapsed="false">
      <c r="A14" s="27" t="s">
        <v>57</v>
      </c>
      <c r="B14" s="25" t="n">
        <v>2</v>
      </c>
      <c r="C14" s="28" t="n">
        <v>30</v>
      </c>
      <c r="D14" s="29" t="n">
        <f aca="false">IF(B14="","",B14+(C14/60)*($B$6+$D$6))</f>
        <v>40.5</v>
      </c>
      <c r="E14" s="29" t="n">
        <f aca="false">IF(D14="","",D14*(1+$F$6))</f>
        <v>48.6</v>
      </c>
      <c r="F14" s="25" t="n">
        <v>40</v>
      </c>
      <c r="G14" s="29" t="n">
        <f aca="false">IF(OR(F14="",D14=""),"",F14-D14)</f>
        <v>-0.5</v>
      </c>
      <c r="H14" s="30" t="n">
        <f aca="false">IF(OR(F14="",F14=0),"",G14/F14)</f>
        <v>-0.0125</v>
      </c>
      <c r="I14" s="31" t="str">
        <f aca="false">IF(D14="","",IF(F14&lt;D14,"🚨 Below Floor",IF(G14/F14&lt;$F$6,"⚠️ Low Margin","✅ Healthy")))</f>
        <v>🚨 Below Floor</v>
      </c>
    </row>
    <row r="15" customFormat="false" ht="19.5" hidden="false" customHeight="true" outlineLevel="0" collapsed="false">
      <c r="A15" s="32" t="s">
        <v>58</v>
      </c>
      <c r="B15" s="25" t="n">
        <v>15</v>
      </c>
      <c r="C15" s="28" t="n">
        <v>150</v>
      </c>
      <c r="D15" s="33" t="n">
        <f aca="false">IF(B15="","",B15+(C15/60)*($B$6+$D$6))</f>
        <v>207.5</v>
      </c>
      <c r="E15" s="33" t="n">
        <f aca="false">IF(D15="","",D15*(1+$F$6))</f>
        <v>249</v>
      </c>
      <c r="F15" s="25" t="n">
        <v>200</v>
      </c>
      <c r="G15" s="33" t="n">
        <f aca="false">IF(OR(F15="",D15=""),"",F15-D15)</f>
        <v>-7.5</v>
      </c>
      <c r="H15" s="34" t="n">
        <f aca="false">IF(OR(F15="",F15=0),"",G15/F15)</f>
        <v>-0.0375</v>
      </c>
      <c r="I15" s="35" t="str">
        <f aca="false">IF(D15="","",IF(F15&lt;D15,"🚨 Below Floor",IF(G15/F15&lt;$F$6,"⚠️ Low Margin","✅ Healthy")))</f>
        <v>🚨 Below Floor</v>
      </c>
    </row>
    <row r="16" customFormat="false" ht="19.5" hidden="false" customHeight="true" outlineLevel="0" collapsed="false">
      <c r="A16" s="27" t="s">
        <v>59</v>
      </c>
      <c r="B16" s="25" t="n">
        <v>35</v>
      </c>
      <c r="C16" s="28" t="n">
        <v>270</v>
      </c>
      <c r="D16" s="29" t="n">
        <f aca="false">IF(B16="","",B16+(C16/60)*($B$6+$D$6))</f>
        <v>381.5</v>
      </c>
      <c r="E16" s="29" t="n">
        <f aca="false">IF(D16="","",D16*(1+$F$6))</f>
        <v>457.8</v>
      </c>
      <c r="F16" s="25" t="n">
        <v>360</v>
      </c>
      <c r="G16" s="29" t="n">
        <f aca="false">IF(OR(F16="",D16=""),"",F16-D16)</f>
        <v>-21.5</v>
      </c>
      <c r="H16" s="30" t="n">
        <f aca="false">IF(OR(F16="",F16=0),"",G16/F16)</f>
        <v>-0.0597222222222222</v>
      </c>
      <c r="I16" s="31" t="str">
        <f aca="false">IF(D16="","",IF(F16&lt;D16,"🚨 Below Floor",IF(G16/F16&lt;$F$6,"⚠️ Low Margin","✅ Healthy")))</f>
        <v>🚨 Below Floor</v>
      </c>
    </row>
    <row r="17" customFormat="false" ht="19.5" hidden="false" customHeight="true" outlineLevel="0" collapsed="false">
      <c r="A17" s="32" t="s">
        <v>60</v>
      </c>
      <c r="B17" s="25" t="n">
        <v>6</v>
      </c>
      <c r="C17" s="28" t="n">
        <v>45</v>
      </c>
      <c r="D17" s="33" t="n">
        <f aca="false">IF(B17="","",B17+(C17/60)*($B$6+$D$6))</f>
        <v>63.75</v>
      </c>
      <c r="E17" s="33" t="n">
        <f aca="false">IF(D17="","",D17*(1+$F$6))</f>
        <v>76.5</v>
      </c>
      <c r="F17" s="25" t="n">
        <v>60</v>
      </c>
      <c r="G17" s="33" t="n">
        <f aca="false">IF(OR(F17="",D17=""),"",F17-D17)</f>
        <v>-3.75</v>
      </c>
      <c r="H17" s="34" t="n">
        <f aca="false">IF(OR(F17="",F17=0),"",G17/F17)</f>
        <v>-0.0625</v>
      </c>
      <c r="I17" s="35" t="str">
        <f aca="false">IF(D17="","",IF(F17&lt;D17,"🚨 Below Floor",IF(G17/F17&lt;$F$6,"⚠️ Low Margin","✅ Healthy")))</f>
        <v>🚨 Below Floor</v>
      </c>
    </row>
    <row r="18" customFormat="false" ht="19.5" hidden="false" customHeight="true" outlineLevel="0" collapsed="false">
      <c r="A18" s="27" t="s">
        <v>61</v>
      </c>
      <c r="B18" s="25" t="n">
        <v>2</v>
      </c>
      <c r="C18" s="28" t="n">
        <v>45</v>
      </c>
      <c r="D18" s="29" t="n">
        <f aca="false">IF(B18="","",B18+(C18/60)*($B$6+$D$6))</f>
        <v>59.75</v>
      </c>
      <c r="E18" s="29" t="n">
        <f aca="false">IF(D18="","",D18*(1+$F$6))</f>
        <v>71.7</v>
      </c>
      <c r="F18" s="25" t="n">
        <v>60</v>
      </c>
      <c r="G18" s="29" t="n">
        <f aca="false">IF(OR(F18="",D18=""),"",F18-D18)</f>
        <v>0.25</v>
      </c>
      <c r="H18" s="30" t="n">
        <f aca="false">IF(OR(F18="",F18=0),"",G18/F18)</f>
        <v>0.00416666666666667</v>
      </c>
      <c r="I18" s="31" t="str">
        <f aca="false">IF(D18="","",IF(F18&lt;D18,"🚨 Below Floor",IF(G18/F18&lt;$F$6,"⚠️ Low Margin","✅ Healthy")))</f>
        <v>⚠️ Low Margin</v>
      </c>
    </row>
    <row r="19" customFormat="false" ht="19.5" hidden="false" customHeight="true" outlineLevel="0" collapsed="false">
      <c r="A19" s="32" t="s">
        <v>62</v>
      </c>
      <c r="B19" s="25" t="n">
        <v>8</v>
      </c>
      <c r="C19" s="28" t="n">
        <v>60</v>
      </c>
      <c r="D19" s="33" t="n">
        <f aca="false">IF(B19="","",B19+(C19/60)*($B$6+$D$6))</f>
        <v>85</v>
      </c>
      <c r="E19" s="33" t="n">
        <f aca="false">IF(D19="","",D19*(1+$F$6))</f>
        <v>102</v>
      </c>
      <c r="F19" s="25" t="n">
        <v>80</v>
      </c>
      <c r="G19" s="33" t="n">
        <f aca="false">IF(OR(F19="",D19=""),"",F19-D19)</f>
        <v>-5</v>
      </c>
      <c r="H19" s="34" t="n">
        <f aca="false">IF(OR(F19="",F19=0),"",G19/F19)</f>
        <v>-0.0625</v>
      </c>
      <c r="I19" s="35" t="str">
        <f aca="false">IF(D19="","",IF(F19&lt;D19,"🚨 Below Floor",IF(G19/F19&lt;$F$6,"⚠️ Low Margin","✅ Healthy")))</f>
        <v>🚨 Below Floor</v>
      </c>
    </row>
    <row r="20" customFormat="false" ht="19.5" hidden="false" customHeight="true" outlineLevel="0" collapsed="false">
      <c r="A20" s="27"/>
      <c r="B20" s="25"/>
      <c r="C20" s="28"/>
      <c r="D20" s="29" t="str">
        <f aca="false">IF(B20="","",B20+(C20/60)*($B$6+$D$6))</f>
        <v/>
      </c>
      <c r="E20" s="29" t="str">
        <f aca="false">IF(D20="","",D20*(1+$F$6))</f>
        <v/>
      </c>
      <c r="F20" s="25"/>
      <c r="G20" s="29" t="str">
        <f aca="false">IF(OR(F20="",D20=""),"",F20-D20)</f>
        <v/>
      </c>
      <c r="H20" s="30" t="str">
        <f aca="false">IF(OR(F20="",F20=0),"",G20/F20)</f>
        <v/>
      </c>
      <c r="I20" s="31" t="str">
        <f aca="false">IF(D20="","",IF(F20&lt;D20,"🚨 Below Floor",IF(G20/F20&lt;$F$6,"⚠️ Low Margin","✅ Healthy")))</f>
        <v/>
      </c>
    </row>
    <row r="21" customFormat="false" ht="19.5" hidden="false" customHeight="true" outlineLevel="0" collapsed="false">
      <c r="A21" s="32"/>
      <c r="B21" s="25"/>
      <c r="C21" s="28"/>
      <c r="D21" s="33" t="str">
        <f aca="false">IF(B21="","",B21+(C21/60)*($B$6+$D$6))</f>
        <v/>
      </c>
      <c r="E21" s="33" t="str">
        <f aca="false">IF(D21="","",D21*(1+$F$6))</f>
        <v/>
      </c>
      <c r="F21" s="25"/>
      <c r="G21" s="33" t="str">
        <f aca="false">IF(OR(F21="",D21=""),"",F21-D21)</f>
        <v/>
      </c>
      <c r="H21" s="34" t="str">
        <f aca="false">IF(OR(F21="",F21=0),"",G21/F21)</f>
        <v/>
      </c>
      <c r="I21" s="35" t="str">
        <f aca="false">IF(D21="","",IF(F21&lt;D21,"🚨 Below Floor",IF(G21/F21&lt;$F$6,"⚠️ Low Margin","✅ Healthy")))</f>
        <v/>
      </c>
    </row>
    <row r="22" customFormat="false" ht="19.5" hidden="false" customHeight="true" outlineLevel="0" collapsed="false">
      <c r="A22" s="27"/>
      <c r="B22" s="25"/>
      <c r="C22" s="28"/>
      <c r="D22" s="29" t="str">
        <f aca="false">IF(B22="","",B22+(C22/60)*($B$6+$D$6))</f>
        <v/>
      </c>
      <c r="E22" s="29" t="str">
        <f aca="false">IF(D22="","",D22*(1+$F$6))</f>
        <v/>
      </c>
      <c r="F22" s="25"/>
      <c r="G22" s="29" t="str">
        <f aca="false">IF(OR(F22="",D22=""),"",F22-D22)</f>
        <v/>
      </c>
      <c r="H22" s="30" t="str">
        <f aca="false">IF(OR(F22="",F22=0),"",G22/F22)</f>
        <v/>
      </c>
      <c r="I22" s="31" t="str">
        <f aca="false">IF(D22="","",IF(F22&lt;D22,"🚨 Below Floor",IF(G22/F22&lt;$F$6,"⚠️ Low Margin","✅ Healthy")))</f>
        <v/>
      </c>
    </row>
    <row r="23" customFormat="false" ht="19.5" hidden="false" customHeight="true" outlineLevel="0" collapsed="false">
      <c r="A23" s="32"/>
      <c r="B23" s="25"/>
      <c r="C23" s="28"/>
      <c r="D23" s="33" t="str">
        <f aca="false">IF(B23="","",B23+(C23/60)*($B$6+$D$6))</f>
        <v/>
      </c>
      <c r="E23" s="33" t="str">
        <f aca="false">IF(D23="","",D23*(1+$F$6))</f>
        <v/>
      </c>
      <c r="F23" s="25"/>
      <c r="G23" s="33" t="str">
        <f aca="false">IF(OR(F23="",D23=""),"",F23-D23)</f>
        <v/>
      </c>
      <c r="H23" s="34" t="str">
        <f aca="false">IF(OR(F23="",F23=0),"",G23/F23)</f>
        <v/>
      </c>
      <c r="I23" s="35" t="str">
        <f aca="false">IF(D23="","",IF(F23&lt;D23,"🚨 Below Floor",IF(G23/F23&lt;$F$6,"⚠️ Low Margin","✅ Healthy")))</f>
        <v/>
      </c>
    </row>
    <row r="24" customFormat="false" ht="19.5" hidden="false" customHeight="true" outlineLevel="0" collapsed="false">
      <c r="A24" s="27"/>
      <c r="B24" s="25"/>
      <c r="C24" s="28"/>
      <c r="D24" s="29" t="str">
        <f aca="false">IF(B24="","",B24+(C24/60)*($B$6+$D$6))</f>
        <v/>
      </c>
      <c r="E24" s="29" t="str">
        <f aca="false">IF(D24="","",D24*(1+$F$6))</f>
        <v/>
      </c>
      <c r="F24" s="25"/>
      <c r="G24" s="29" t="str">
        <f aca="false">IF(OR(F24="",D24=""),"",F24-D24)</f>
        <v/>
      </c>
      <c r="H24" s="30" t="str">
        <f aca="false">IF(OR(F24="",F24=0),"",G24/F24)</f>
        <v/>
      </c>
      <c r="I24" s="31" t="str">
        <f aca="false">IF(D24="","",IF(F24&lt;D24,"🚨 Below Floor",IF(G24/F24&lt;$F$6,"⚠️ Low Margin","✅ Healthy")))</f>
        <v/>
      </c>
    </row>
    <row r="26" customFormat="false" ht="7.5" hidden="false" customHeight="true" outlineLevel="0" collapsed="false"/>
    <row r="27" customFormat="false" ht="15" hidden="false" customHeight="true" outlineLevel="0" collapsed="false">
      <c r="A27" s="12" t="s">
        <v>63</v>
      </c>
      <c r="B27" s="12"/>
      <c r="C27" s="12"/>
      <c r="D27" s="12"/>
      <c r="E27" s="12"/>
      <c r="F27" s="12"/>
      <c r="G27" s="12"/>
      <c r="H27" s="12"/>
      <c r="I27" s="12"/>
    </row>
    <row r="28" customFormat="false" ht="19.5" hidden="false" customHeight="true" outlineLevel="0" collapsed="false">
      <c r="A28" s="10" t="s">
        <v>64</v>
      </c>
      <c r="B28" s="10"/>
      <c r="C28" s="10"/>
      <c r="D28" s="36" t="n">
        <f aca="false">COUNTA(A10:A24)</f>
        <v>10</v>
      </c>
      <c r="E28" s="36"/>
      <c r="F28" s="36"/>
      <c r="G28" s="36"/>
      <c r="H28" s="36"/>
      <c r="I28" s="36"/>
    </row>
    <row r="29" customFormat="false" ht="19.5" hidden="false" customHeight="true" outlineLevel="0" collapsed="false">
      <c r="A29" s="7" t="s">
        <v>65</v>
      </c>
      <c r="B29" s="7"/>
      <c r="C29" s="7"/>
      <c r="D29" s="37" t="n">
        <f aca="false">COUNTIF(I10:I24,"*Below Floor*")</f>
        <v>9</v>
      </c>
      <c r="E29" s="37"/>
      <c r="F29" s="37"/>
      <c r="G29" s="37"/>
      <c r="H29" s="37"/>
      <c r="I29" s="37"/>
    </row>
    <row r="30" customFormat="false" ht="19.5" hidden="false" customHeight="true" outlineLevel="0" collapsed="false">
      <c r="A30" s="10" t="s">
        <v>66</v>
      </c>
      <c r="B30" s="10"/>
      <c r="C30" s="10"/>
      <c r="D30" s="36" t="n">
        <f aca="false">COUNTIF(I10:I24,"*Low Margin*")</f>
        <v>1</v>
      </c>
      <c r="E30" s="36"/>
      <c r="F30" s="36"/>
      <c r="G30" s="36"/>
      <c r="H30" s="36"/>
      <c r="I30" s="36"/>
    </row>
    <row r="31" customFormat="false" ht="19.5" hidden="false" customHeight="true" outlineLevel="0" collapsed="false">
      <c r="A31" s="7" t="s">
        <v>67</v>
      </c>
      <c r="B31" s="7"/>
      <c r="C31" s="7"/>
      <c r="D31" s="37" t="n">
        <f aca="false">COUNTIF(I10:I24,"*Healthy*")</f>
        <v>0</v>
      </c>
      <c r="E31" s="37"/>
      <c r="F31" s="37"/>
      <c r="G31" s="37"/>
      <c r="H31" s="37"/>
      <c r="I31" s="37"/>
    </row>
    <row r="32" customFormat="false" ht="19.5" hidden="false" customHeight="true" outlineLevel="0" collapsed="false">
      <c r="A32" s="10" t="s">
        <v>68</v>
      </c>
      <c r="B32" s="10"/>
      <c r="C32" s="10"/>
      <c r="D32" s="33" t="n">
        <f aca="false">IFERROR(AVERAGEIF(F10:F24,"&lt;&gt;",F10:F24),"-")</f>
        <v>146</v>
      </c>
      <c r="E32" s="33"/>
      <c r="F32" s="33"/>
      <c r="G32" s="33"/>
      <c r="H32" s="33"/>
      <c r="I32" s="33"/>
    </row>
    <row r="33" customFormat="false" ht="19.5" hidden="false" customHeight="true" outlineLevel="0" collapsed="false">
      <c r="A33" s="7" t="s">
        <v>69</v>
      </c>
      <c r="B33" s="7"/>
      <c r="C33" s="7"/>
      <c r="D33" s="30" t="n">
        <f aca="false">IFERROR(AVERAGEIF(H10:H24,"&lt;&gt;",H10:H24),"-")</f>
        <v>-0.0379126984126984</v>
      </c>
      <c r="E33" s="30"/>
      <c r="F33" s="30"/>
      <c r="G33" s="30"/>
      <c r="H33" s="30"/>
      <c r="I33" s="30"/>
    </row>
  </sheetData>
  <mergeCells count="18">
    <mergeCell ref="A1:I1"/>
    <mergeCell ref="A2:I2"/>
    <mergeCell ref="A3:I3"/>
    <mergeCell ref="A5:I5"/>
    <mergeCell ref="A8:I8"/>
    <mergeCell ref="A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</cols>
  <sheetData>
    <row r="1" customFormat="false" ht="15" hidden="false" customHeight="true" outlineLevel="0" collapsed="false">
      <c r="A1" s="22" t="s">
        <v>0</v>
      </c>
      <c r="B1" s="22"/>
      <c r="C1" s="22"/>
      <c r="D1" s="22"/>
    </row>
    <row r="2" customFormat="false" ht="27.75" hidden="false" customHeight="true" outlineLevel="0" collapsed="false">
      <c r="A2" s="23" t="s">
        <v>70</v>
      </c>
      <c r="B2" s="23"/>
      <c r="C2" s="23"/>
      <c r="D2" s="23"/>
    </row>
    <row r="3" customFormat="false" ht="15" hidden="false" customHeight="true" outlineLevel="0" collapsed="false">
      <c r="A3" s="24" t="s">
        <v>71</v>
      </c>
      <c r="B3" s="24"/>
      <c r="C3" s="24"/>
      <c r="D3" s="24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72</v>
      </c>
      <c r="B5" s="4"/>
      <c r="C5" s="4"/>
      <c r="D5" s="4"/>
    </row>
    <row r="6" customFormat="false" ht="21.75" hidden="false" customHeight="true" outlineLevel="0" collapsed="false">
      <c r="A6" s="38" t="s">
        <v>73</v>
      </c>
      <c r="B6" s="38" t="s">
        <v>74</v>
      </c>
      <c r="C6" s="38" t="s">
        <v>75</v>
      </c>
      <c r="D6" s="38"/>
    </row>
    <row r="7" customFormat="false" ht="19.5" hidden="false" customHeight="true" outlineLevel="0" collapsed="false">
      <c r="A7" s="27" t="s">
        <v>76</v>
      </c>
      <c r="B7" s="25" t="n">
        <v>800</v>
      </c>
      <c r="C7" s="39"/>
      <c r="D7" s="39"/>
    </row>
    <row r="8" customFormat="false" ht="19.5" hidden="false" customHeight="true" outlineLevel="0" collapsed="false">
      <c r="A8" s="32" t="s">
        <v>77</v>
      </c>
      <c r="B8" s="25" t="n">
        <v>200</v>
      </c>
      <c r="C8" s="40"/>
      <c r="D8" s="40"/>
    </row>
    <row r="9" customFormat="false" ht="19.5" hidden="false" customHeight="true" outlineLevel="0" collapsed="false">
      <c r="A9" s="27" t="s">
        <v>78</v>
      </c>
      <c r="B9" s="25" t="n">
        <v>60</v>
      </c>
      <c r="C9" s="39"/>
      <c r="D9" s="39"/>
    </row>
    <row r="10" customFormat="false" ht="19.5" hidden="false" customHeight="true" outlineLevel="0" collapsed="false">
      <c r="A10" s="32" t="s">
        <v>79</v>
      </c>
      <c r="B10" s="25" t="n">
        <v>50</v>
      </c>
      <c r="C10" s="40"/>
      <c r="D10" s="40"/>
    </row>
    <row r="11" customFormat="false" ht="19.5" hidden="false" customHeight="true" outlineLevel="0" collapsed="false">
      <c r="A11" s="27" t="s">
        <v>80</v>
      </c>
      <c r="B11" s="25" t="n">
        <v>40</v>
      </c>
      <c r="C11" s="39"/>
      <c r="D11" s="39"/>
    </row>
    <row r="12" customFormat="false" ht="19.5" hidden="false" customHeight="true" outlineLevel="0" collapsed="false">
      <c r="A12" s="32" t="s">
        <v>81</v>
      </c>
      <c r="B12" s="25" t="n">
        <v>150</v>
      </c>
      <c r="C12" s="40"/>
      <c r="D12" s="40"/>
    </row>
    <row r="13" customFormat="false" ht="19.5" hidden="false" customHeight="true" outlineLevel="0" collapsed="false">
      <c r="A13" s="27" t="s">
        <v>82</v>
      </c>
      <c r="B13" s="25" t="n">
        <v>30</v>
      </c>
      <c r="C13" s="39"/>
      <c r="D13" s="39"/>
    </row>
    <row r="14" customFormat="false" ht="19.5" hidden="false" customHeight="true" outlineLevel="0" collapsed="false">
      <c r="A14" s="10" t="s">
        <v>83</v>
      </c>
      <c r="B14" s="33" t="n">
        <f aca="false">SUM(B7:B13)*0.1</f>
        <v>133</v>
      </c>
      <c r="C14" s="40"/>
      <c r="D14" s="40"/>
    </row>
    <row r="15" customFormat="false" ht="19.5" hidden="false" customHeight="true" outlineLevel="0" collapsed="false">
      <c r="A15" s="27"/>
      <c r="B15" s="25"/>
      <c r="C15" s="39"/>
      <c r="D15" s="39"/>
    </row>
    <row r="16" customFormat="false" ht="19.5" hidden="false" customHeight="true" outlineLevel="0" collapsed="false">
      <c r="A16" s="32"/>
      <c r="B16" s="25"/>
      <c r="C16" s="40"/>
      <c r="D16" s="40"/>
    </row>
    <row r="17" customFormat="false" ht="21.75" hidden="false" customHeight="true" outlineLevel="0" collapsed="false">
      <c r="A17" s="41" t="s">
        <v>84</v>
      </c>
      <c r="B17" s="42" t="n">
        <f aca="false">SUM(B7:B16)</f>
        <v>1463</v>
      </c>
      <c r="C17" s="43"/>
      <c r="D17" s="43"/>
    </row>
    <row r="18" customFormat="false" ht="7.5" hidden="false" customHeight="true" outlineLevel="0" collapsed="false"/>
    <row r="19" customFormat="false" ht="21.75" hidden="false" customHeight="true" outlineLevel="0" collapsed="false">
      <c r="A19" s="4" t="s">
        <v>85</v>
      </c>
      <c r="B19" s="4"/>
      <c r="C19" s="4"/>
      <c r="D19" s="4"/>
    </row>
    <row r="20" customFormat="false" ht="19.5" hidden="false" customHeight="true" outlineLevel="0" collapsed="false">
      <c r="A20" s="7" t="s">
        <v>86</v>
      </c>
      <c r="B20" s="25" t="n">
        <v>120</v>
      </c>
      <c r="C20" s="39"/>
      <c r="D20" s="39"/>
    </row>
    <row r="21" customFormat="false" ht="19.5" hidden="false" customHeight="true" outlineLevel="0" collapsed="false">
      <c r="A21" s="10" t="s">
        <v>87</v>
      </c>
      <c r="B21" s="28" t="n">
        <v>20</v>
      </c>
      <c r="C21" s="40"/>
      <c r="D21" s="40"/>
    </row>
    <row r="22" customFormat="false" ht="19.5" hidden="false" customHeight="true" outlineLevel="0" collapsed="false">
      <c r="A22" s="7" t="s">
        <v>88</v>
      </c>
      <c r="B22" s="28" t="n">
        <v>5</v>
      </c>
      <c r="C22" s="39"/>
      <c r="D22" s="39"/>
    </row>
    <row r="23" customFormat="false" ht="7.5" hidden="false" customHeight="true" outlineLevel="0" collapsed="false"/>
    <row r="24" customFormat="false" ht="21.75" hidden="false" customHeight="true" outlineLevel="0" collapsed="false">
      <c r="A24" s="12" t="s">
        <v>89</v>
      </c>
      <c r="B24" s="12"/>
      <c r="C24" s="12"/>
      <c r="D24" s="12"/>
    </row>
    <row r="25" customFormat="false" ht="21.75" hidden="false" customHeight="true" outlineLevel="0" collapsed="false">
      <c r="A25" s="10" t="s">
        <v>90</v>
      </c>
      <c r="B25" s="36" t="n">
        <f aca="false">IFERROR(CEILING(B17/B20,1),"-")</f>
        <v>13</v>
      </c>
      <c r="C25" s="40"/>
      <c r="D25" s="40"/>
    </row>
    <row r="26" customFormat="false" ht="21.75" hidden="false" customHeight="true" outlineLevel="0" collapsed="false">
      <c r="A26" s="7" t="s">
        <v>91</v>
      </c>
      <c r="B26" s="37" t="n">
        <f aca="false">IFERROR(CEILING(B17/(B20*4),1),"-")</f>
        <v>4</v>
      </c>
      <c r="C26" s="39"/>
      <c r="D26" s="39"/>
    </row>
    <row r="27" customFormat="false" ht="21.75" hidden="false" customHeight="true" outlineLevel="0" collapsed="false">
      <c r="A27" s="10" t="s">
        <v>92</v>
      </c>
      <c r="B27" s="36" t="n">
        <f aca="false">IFERROR(CEILING(B17/(B20*B21),1),"-")</f>
        <v>1</v>
      </c>
      <c r="C27" s="40"/>
      <c r="D27" s="40"/>
    </row>
    <row r="28" customFormat="false" ht="21.75" hidden="false" customHeight="true" outlineLevel="0" collapsed="false">
      <c r="A28" s="7" t="s">
        <v>93</v>
      </c>
      <c r="B28" s="44" t="n">
        <f aca="false">B20*B21*B22</f>
        <v>12000</v>
      </c>
      <c r="C28" s="39"/>
      <c r="D28" s="39"/>
    </row>
    <row r="29" customFormat="false" ht="21.75" hidden="false" customHeight="true" outlineLevel="0" collapsed="false">
      <c r="A29" s="10" t="s">
        <v>94</v>
      </c>
      <c r="B29" s="45" t="n">
        <f aca="false">B20*B21*B22-B17</f>
        <v>10537</v>
      </c>
      <c r="C29" s="40"/>
      <c r="D29" s="40"/>
    </row>
    <row r="30" customFormat="false" ht="21.75" hidden="false" customHeight="true" outlineLevel="0" collapsed="false">
      <c r="A30" s="7" t="s">
        <v>95</v>
      </c>
      <c r="B30" s="37" t="n">
        <f aca="false">IFERROR(CEILING(B17/(B20*B22),1),"-")</f>
        <v>3</v>
      </c>
      <c r="C30" s="39"/>
      <c r="D30" s="39"/>
    </row>
    <row r="31" customFormat="false" ht="21.75" hidden="false" customHeight="true" outlineLevel="0" collapsed="false">
      <c r="A31" s="10" t="s">
        <v>96</v>
      </c>
      <c r="B31" s="34" t="n">
        <f aca="false">IFERROR(CEILING(B17/B20,1)/(B21*B22),"-")</f>
        <v>0.13</v>
      </c>
      <c r="C31" s="40"/>
      <c r="D31" s="40"/>
    </row>
    <row r="32" customFormat="false" ht="21.75" hidden="false" customHeight="true" outlineLevel="0" collapsed="false">
      <c r="A32" s="7" t="s">
        <v>97</v>
      </c>
      <c r="B32" s="29" t="n">
        <f aca="false">B20*(1-(B17/(B20*B21*B22)))</f>
        <v>105.37</v>
      </c>
      <c r="C32" s="39"/>
      <c r="D32" s="39"/>
    </row>
  </sheetData>
  <mergeCells count="29">
    <mergeCell ref="A1:D1"/>
    <mergeCell ref="A2:D2"/>
    <mergeCell ref="A3:D3"/>
    <mergeCell ref="A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19:D19"/>
    <mergeCell ref="C20:D20"/>
    <mergeCell ref="C21:D21"/>
    <mergeCell ref="C22:D22"/>
    <mergeCell ref="A24:D24"/>
    <mergeCell ref="C25:D25"/>
    <mergeCell ref="C26:D26"/>
    <mergeCell ref="C27:D27"/>
    <mergeCell ref="C28:D28"/>
    <mergeCell ref="C29:D29"/>
    <mergeCell ref="C30:D30"/>
    <mergeCell ref="C31:D31"/>
    <mergeCell ref="C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4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5" hidden="false" customHeight="true" outlineLevel="0" collapsed="false">
      <c r="A1" s="22" t="s">
        <v>0</v>
      </c>
      <c r="B1" s="22"/>
      <c r="C1" s="22"/>
      <c r="D1" s="22"/>
      <c r="E1" s="22"/>
      <c r="F1" s="22"/>
      <c r="G1" s="22"/>
      <c r="H1" s="22"/>
    </row>
    <row r="2" customFormat="false" ht="27.75" hidden="false" customHeight="true" outlineLevel="0" collapsed="false">
      <c r="A2" s="23" t="s">
        <v>98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99</v>
      </c>
      <c r="B3" s="24"/>
      <c r="C3" s="24"/>
      <c r="D3" s="24"/>
      <c r="E3" s="24"/>
      <c r="F3" s="24"/>
      <c r="G3" s="24"/>
      <c r="H3" s="24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100</v>
      </c>
      <c r="B5" s="4"/>
      <c r="C5" s="4"/>
      <c r="D5" s="4"/>
      <c r="E5" s="4"/>
      <c r="F5" s="4"/>
      <c r="G5" s="4"/>
      <c r="H5" s="4"/>
    </row>
    <row r="6" customFormat="false" ht="27.75" hidden="false" customHeight="true" outlineLevel="0" collapsed="false">
      <c r="A6" s="5" t="s">
        <v>44</v>
      </c>
      <c r="B6" s="5" t="s">
        <v>101</v>
      </c>
      <c r="C6" s="5" t="s">
        <v>47</v>
      </c>
      <c r="D6" s="5" t="s">
        <v>102</v>
      </c>
      <c r="E6" s="5" t="s">
        <v>103</v>
      </c>
      <c r="F6" s="5" t="s">
        <v>50</v>
      </c>
      <c r="G6" s="5" t="s">
        <v>51</v>
      </c>
      <c r="H6" s="5" t="s">
        <v>52</v>
      </c>
    </row>
    <row r="7" customFormat="false" ht="19.5" hidden="false" customHeight="true" outlineLevel="0" collapsed="false">
      <c r="A7" s="46" t="str">
        <f aca="false">'1 - Service Pricing'!A10</f>
        <v>Full Balayage</v>
      </c>
      <c r="B7" s="27" t="s">
        <v>104</v>
      </c>
      <c r="C7" s="47" t="n">
        <f aca="false">'1 - Service Pricing'!D10</f>
        <v>291.5</v>
      </c>
      <c r="D7" s="47" t="n">
        <f aca="false">'1 - Service Pricing'!E10</f>
        <v>349.8</v>
      </c>
      <c r="E7" s="47" t="n">
        <f aca="false">'1 - Service Pricing'!F10</f>
        <v>280</v>
      </c>
      <c r="F7" s="29" t="n">
        <f aca="false">IF(OR(E7="",C7=""),"",E7-C7)</f>
        <v>-11.5</v>
      </c>
      <c r="G7" s="30" t="n">
        <f aca="false">IF(OR(E7="",E7=0),"",F7/E7)</f>
        <v>-0.0410714285714286</v>
      </c>
      <c r="H7" s="31" t="str">
        <f aca="false">IF(C7="","",IF(E7&lt;C7,"🚨 Below Floor",IF((E7-C7)/E7&lt;0.15,"⚠️ Low Margin","✅ Healthy")))</f>
        <v>🚨 Below Floor</v>
      </c>
    </row>
    <row r="8" customFormat="false" ht="19.5" hidden="false" customHeight="true" outlineLevel="0" collapsed="false">
      <c r="A8" s="48" t="str">
        <f aca="false">'1 - Service Pricing'!A11</f>
        <v>Root Touch-Up</v>
      </c>
      <c r="B8" s="32" t="s">
        <v>104</v>
      </c>
      <c r="C8" s="47" t="n">
        <f aca="false">'1 - Service Pricing'!D11</f>
        <v>104.25</v>
      </c>
      <c r="D8" s="47" t="n">
        <f aca="false">'1 - Service Pricing'!E11</f>
        <v>125.1</v>
      </c>
      <c r="E8" s="47" t="n">
        <f aca="false">'1 - Service Pricing'!F11</f>
        <v>100</v>
      </c>
      <c r="F8" s="33" t="n">
        <f aca="false">IF(OR(E8="",C8=""),"",E8-C8)</f>
        <v>-4.25</v>
      </c>
      <c r="G8" s="34" t="n">
        <f aca="false">IF(OR(E8="",E8=0),"",F8/E8)</f>
        <v>-0.0425</v>
      </c>
      <c r="H8" s="35" t="str">
        <f aca="false">IF(C8="","",IF(E8&lt;C8,"🚨 Below Floor",IF((E8-C8)/E8&lt;0.15,"⚠️ Low Margin","✅ Healthy")))</f>
        <v>🚨 Below Floor</v>
      </c>
    </row>
    <row r="9" customFormat="false" ht="19.5" hidden="false" customHeight="true" outlineLevel="0" collapsed="false">
      <c r="A9" s="46" t="str">
        <f aca="false">'1 - Service Pricing'!A12</f>
        <v>Full Highlights</v>
      </c>
      <c r="B9" s="27" t="s">
        <v>104</v>
      </c>
      <c r="C9" s="47" t="n">
        <f aca="false">'1 - Service Pricing'!D12</f>
        <v>210.5</v>
      </c>
      <c r="D9" s="47" t="n">
        <f aca="false">'1 - Service Pricing'!E12</f>
        <v>252.6</v>
      </c>
      <c r="E9" s="47" t="n">
        <f aca="false">'1 - Service Pricing'!F12</f>
        <v>200</v>
      </c>
      <c r="F9" s="29" t="n">
        <f aca="false">IF(OR(E9="",C9=""),"",E9-C9)</f>
        <v>-10.5</v>
      </c>
      <c r="G9" s="30" t="n">
        <f aca="false">IF(OR(E9="",E9=0),"",F9/E9)</f>
        <v>-0.0525</v>
      </c>
      <c r="H9" s="31" t="str">
        <f aca="false">IF(C9="","",IF(E9&lt;C9,"🚨 Below Floor",IF((E9-C9)/E9&lt;0.15,"⚠️ Low Margin","✅ Healthy")))</f>
        <v>🚨 Below Floor</v>
      </c>
    </row>
    <row r="10" customFormat="false" ht="19.5" hidden="false" customHeight="true" outlineLevel="0" collapsed="false">
      <c r="A10" s="48" t="str">
        <f aca="false">'1 - Service Pricing'!A13</f>
        <v>Women's Cut &amp; Style</v>
      </c>
      <c r="B10" s="32" t="s">
        <v>105</v>
      </c>
      <c r="C10" s="47" t="n">
        <f aca="false">'1 - Service Pricing'!D13</f>
        <v>81</v>
      </c>
      <c r="D10" s="47" t="n">
        <f aca="false">'1 - Service Pricing'!E13</f>
        <v>97.2</v>
      </c>
      <c r="E10" s="47" t="n">
        <f aca="false">'1 - Service Pricing'!F13</f>
        <v>80</v>
      </c>
      <c r="F10" s="33" t="n">
        <f aca="false">IF(OR(E10="",C10=""),"",E10-C10)</f>
        <v>-1</v>
      </c>
      <c r="G10" s="34" t="n">
        <f aca="false">IF(OR(E10="",E10=0),"",F10/E10)</f>
        <v>-0.0125</v>
      </c>
      <c r="H10" s="35" t="str">
        <f aca="false">IF(C10="","",IF(E10&lt;C10,"🚨 Below Floor",IF((E10-C10)/E10&lt;0.15,"⚠️ Low Margin","✅ Healthy")))</f>
        <v>🚨 Below Floor</v>
      </c>
    </row>
    <row r="11" customFormat="false" ht="19.5" hidden="false" customHeight="true" outlineLevel="0" collapsed="false">
      <c r="A11" s="46" t="str">
        <f aca="false">'1 - Service Pricing'!A14</f>
        <v>Men's Cut</v>
      </c>
      <c r="B11" s="27" t="s">
        <v>105</v>
      </c>
      <c r="C11" s="47" t="n">
        <f aca="false">'1 - Service Pricing'!D14</f>
        <v>40.5</v>
      </c>
      <c r="D11" s="47" t="n">
        <f aca="false">'1 - Service Pricing'!E14</f>
        <v>48.6</v>
      </c>
      <c r="E11" s="47" t="n">
        <f aca="false">'1 - Service Pricing'!F14</f>
        <v>40</v>
      </c>
      <c r="F11" s="29" t="n">
        <f aca="false">IF(OR(E11="",C11=""),"",E11-C11)</f>
        <v>-0.5</v>
      </c>
      <c r="G11" s="30" t="n">
        <f aca="false">IF(OR(E11="",E11=0),"",F11/E11)</f>
        <v>-0.0125</v>
      </c>
      <c r="H11" s="31" t="str">
        <f aca="false">IF(C11="","",IF(E11&lt;C11,"🚨 Below Floor",IF((E11-C11)/E11&lt;0.15,"⚠️ Low Margin","✅ Healthy")))</f>
        <v>🚨 Below Floor</v>
      </c>
    </row>
    <row r="12" customFormat="false" ht="19.5" hidden="false" customHeight="true" outlineLevel="0" collapsed="false">
      <c r="A12" s="48" t="str">
        <f aca="false">'1 - Service Pricing'!A15</f>
        <v>Keratin Treatment</v>
      </c>
      <c r="B12" s="32" t="s">
        <v>106</v>
      </c>
      <c r="C12" s="47" t="n">
        <f aca="false">'1 - Service Pricing'!D15</f>
        <v>207.5</v>
      </c>
      <c r="D12" s="47" t="n">
        <f aca="false">'1 - Service Pricing'!E15</f>
        <v>249</v>
      </c>
      <c r="E12" s="47" t="n">
        <f aca="false">'1 - Service Pricing'!F15</f>
        <v>200</v>
      </c>
      <c r="F12" s="33" t="n">
        <f aca="false">IF(OR(E12="",C12=""),"",E12-C12)</f>
        <v>-7.5</v>
      </c>
      <c r="G12" s="34" t="n">
        <f aca="false">IF(OR(E12="",E12=0),"",F12/E12)</f>
        <v>-0.0375</v>
      </c>
      <c r="H12" s="35" t="str">
        <f aca="false">IF(C12="","",IF(E12&lt;C12,"🚨 Below Floor",IF((E12-C12)/E12&lt;0.15,"⚠️ Low Margin","✅ Healthy")))</f>
        <v>🚨 Below Floor</v>
      </c>
    </row>
    <row r="13" customFormat="false" ht="19.5" hidden="false" customHeight="true" outlineLevel="0" collapsed="false">
      <c r="A13" s="46" t="str">
        <f aca="false">'1 - Service Pricing'!A16</f>
        <v>Color Correction</v>
      </c>
      <c r="B13" s="27" t="s">
        <v>104</v>
      </c>
      <c r="C13" s="47" t="n">
        <f aca="false">'1 - Service Pricing'!D16</f>
        <v>381.5</v>
      </c>
      <c r="D13" s="47" t="n">
        <f aca="false">'1 - Service Pricing'!E16</f>
        <v>457.8</v>
      </c>
      <c r="E13" s="47" t="n">
        <f aca="false">'1 - Service Pricing'!F16</f>
        <v>360</v>
      </c>
      <c r="F13" s="29" t="n">
        <f aca="false">IF(OR(E13="",C13=""),"",E13-C13)</f>
        <v>-21.5</v>
      </c>
      <c r="G13" s="30" t="n">
        <f aca="false">IF(OR(E13="",E13=0),"",F13/E13)</f>
        <v>-0.0597222222222222</v>
      </c>
      <c r="H13" s="31" t="str">
        <f aca="false">IF(C13="","",IF(E13&lt;C13,"🚨 Below Floor",IF((E13-C13)/E13&lt;0.15,"⚠️ Low Margin","✅ Healthy")))</f>
        <v>🚨 Below Floor</v>
      </c>
    </row>
    <row r="14" customFormat="false" ht="19.5" hidden="false" customHeight="true" outlineLevel="0" collapsed="false">
      <c r="A14" s="48" t="str">
        <f aca="false">'1 - Service Pricing'!A17</f>
        <v>Gloss / Toner</v>
      </c>
      <c r="B14" s="32" t="s">
        <v>104</v>
      </c>
      <c r="C14" s="47" t="n">
        <f aca="false">'1 - Service Pricing'!D17</f>
        <v>63.75</v>
      </c>
      <c r="D14" s="47" t="n">
        <f aca="false">'1 - Service Pricing'!E17</f>
        <v>76.5</v>
      </c>
      <c r="E14" s="47" t="n">
        <f aca="false">'1 - Service Pricing'!F17</f>
        <v>60</v>
      </c>
      <c r="F14" s="33" t="n">
        <f aca="false">IF(OR(E14="",C14=""),"",E14-C14)</f>
        <v>-3.75</v>
      </c>
      <c r="G14" s="34" t="n">
        <f aca="false">IF(OR(E14="",E14=0),"",F14/E14)</f>
        <v>-0.0625</v>
      </c>
      <c r="H14" s="35" t="str">
        <f aca="false">IF(C14="","",IF(E14&lt;C14,"🚨 Below Floor",IF((E14-C14)/E14&lt;0.15,"⚠️ Low Margin","✅ Healthy")))</f>
        <v>🚨 Below Floor</v>
      </c>
    </row>
    <row r="15" customFormat="false" ht="19.5" hidden="false" customHeight="true" outlineLevel="0" collapsed="false">
      <c r="A15" s="46" t="str">
        <f aca="false">'1 - Service Pricing'!A18</f>
        <v>Blowout</v>
      </c>
      <c r="B15" s="27" t="s">
        <v>107</v>
      </c>
      <c r="C15" s="47" t="n">
        <f aca="false">'1 - Service Pricing'!D18</f>
        <v>59.75</v>
      </c>
      <c r="D15" s="47" t="n">
        <f aca="false">'1 - Service Pricing'!E18</f>
        <v>71.7</v>
      </c>
      <c r="E15" s="47" t="n">
        <f aca="false">'1 - Service Pricing'!F18</f>
        <v>60</v>
      </c>
      <c r="F15" s="29" t="n">
        <f aca="false">IF(OR(E15="",C15=""),"",E15-C15)</f>
        <v>0.25</v>
      </c>
      <c r="G15" s="30" t="n">
        <f aca="false">IF(OR(E15="",E15=0),"",F15/E15)</f>
        <v>0.00416666666666667</v>
      </c>
      <c r="H15" s="31" t="str">
        <f aca="false">IF(C15="","",IF(E15&lt;C15,"🚨 Below Floor",IF((E15-C15)/E15&lt;0.15,"⚠️ Low Margin","✅ Healthy")))</f>
        <v>⚠️ Low Margin</v>
      </c>
    </row>
    <row r="16" customFormat="false" ht="19.5" hidden="false" customHeight="true" outlineLevel="0" collapsed="false">
      <c r="A16" s="48" t="str">
        <f aca="false">'1 - Service Pricing'!A19</f>
        <v>Deep Conditioning</v>
      </c>
      <c r="B16" s="32" t="s">
        <v>106</v>
      </c>
      <c r="C16" s="47" t="n">
        <f aca="false">'1 - Service Pricing'!D19</f>
        <v>85</v>
      </c>
      <c r="D16" s="47" t="n">
        <f aca="false">'1 - Service Pricing'!E19</f>
        <v>102</v>
      </c>
      <c r="E16" s="47" t="n">
        <f aca="false">'1 - Service Pricing'!F19</f>
        <v>80</v>
      </c>
      <c r="F16" s="33" t="n">
        <f aca="false">IF(OR(E16="",C16=""),"",E16-C16)</f>
        <v>-5</v>
      </c>
      <c r="G16" s="34" t="n">
        <f aca="false">IF(OR(E16="",E16=0),"",F16/E16)</f>
        <v>-0.0625</v>
      </c>
      <c r="H16" s="35" t="str">
        <f aca="false">IF(C16="","",IF(E16&lt;C16,"🚨 Below Floor",IF((E16-C16)/E16&lt;0.15,"⚠️ Low Margin","✅ Healthy")))</f>
        <v>🚨 Below Floor</v>
      </c>
    </row>
    <row r="17" customFormat="false" ht="19.5" hidden="false" customHeight="true" outlineLevel="0" collapsed="false">
      <c r="A17" s="46" t="n">
        <f aca="false">'1 - Service Pricing'!A20</f>
        <v>0</v>
      </c>
      <c r="B17" s="27"/>
      <c r="C17" s="47" t="str">
        <f aca="false">'1 - Service Pricing'!D20</f>
        <v/>
      </c>
      <c r="D17" s="47" t="str">
        <f aca="false">'1 - Service Pricing'!E20</f>
        <v/>
      </c>
      <c r="E17" s="47" t="n">
        <f aca="false">'1 - Service Pricing'!F20</f>
        <v>0</v>
      </c>
      <c r="F17" s="29" t="str">
        <f aca="false">IF(OR(E17="",C17=""),"",E17-C17)</f>
        <v/>
      </c>
      <c r="G17" s="30" t="str">
        <f aca="false">IF(OR(E17="",E17=0),"",F17/E17)</f>
        <v/>
      </c>
      <c r="H17" s="31" t="str">
        <f aca="false">IF(C17="","",IF(E17&lt;C17,"🚨 Below Floor",IF((E17-C17)/E17&lt;0.15,"⚠️ Low Margin","✅ Healthy")))</f>
        <v/>
      </c>
    </row>
    <row r="18" customFormat="false" ht="19.5" hidden="false" customHeight="true" outlineLevel="0" collapsed="false">
      <c r="A18" s="48" t="n">
        <f aca="false">'1 - Service Pricing'!A21</f>
        <v>0</v>
      </c>
      <c r="B18" s="32"/>
      <c r="C18" s="47" t="str">
        <f aca="false">'1 - Service Pricing'!D21</f>
        <v/>
      </c>
      <c r="D18" s="47" t="str">
        <f aca="false">'1 - Service Pricing'!E21</f>
        <v/>
      </c>
      <c r="E18" s="47" t="n">
        <f aca="false">'1 - Service Pricing'!F21</f>
        <v>0</v>
      </c>
      <c r="F18" s="33" t="str">
        <f aca="false">IF(OR(E18="",C18=""),"",E18-C18)</f>
        <v/>
      </c>
      <c r="G18" s="34" t="str">
        <f aca="false">IF(OR(E18="",E18=0),"",F18/E18)</f>
        <v/>
      </c>
      <c r="H18" s="35" t="str">
        <f aca="false">IF(C18="","",IF(E18&lt;C18,"🚨 Below Floor",IF((E18-C18)/E18&lt;0.15,"⚠️ Low Margin","✅ Healthy")))</f>
        <v/>
      </c>
    </row>
    <row r="19" customFormat="false" ht="19.5" hidden="false" customHeight="true" outlineLevel="0" collapsed="false">
      <c r="A19" s="46" t="n">
        <f aca="false">'1 - Service Pricing'!A22</f>
        <v>0</v>
      </c>
      <c r="B19" s="27"/>
      <c r="C19" s="47" t="str">
        <f aca="false">'1 - Service Pricing'!D22</f>
        <v/>
      </c>
      <c r="D19" s="47" t="str">
        <f aca="false">'1 - Service Pricing'!E22</f>
        <v/>
      </c>
      <c r="E19" s="47" t="n">
        <f aca="false">'1 - Service Pricing'!F22</f>
        <v>0</v>
      </c>
      <c r="F19" s="29" t="str">
        <f aca="false">IF(OR(E19="",C19=""),"",E19-C19)</f>
        <v/>
      </c>
      <c r="G19" s="30" t="str">
        <f aca="false">IF(OR(E19="",E19=0),"",F19/E19)</f>
        <v/>
      </c>
      <c r="H19" s="31" t="str">
        <f aca="false">IF(C19="","",IF(E19&lt;C19,"🚨 Below Floor",IF((E19-C19)/E19&lt;0.15,"⚠️ Low Margin","✅ Healthy")))</f>
        <v/>
      </c>
    </row>
    <row r="20" customFormat="false" ht="19.5" hidden="false" customHeight="true" outlineLevel="0" collapsed="false">
      <c r="A20" s="48" t="n">
        <f aca="false">'1 - Service Pricing'!A23</f>
        <v>0</v>
      </c>
      <c r="B20" s="32"/>
      <c r="C20" s="47" t="str">
        <f aca="false">'1 - Service Pricing'!D23</f>
        <v/>
      </c>
      <c r="D20" s="47" t="str">
        <f aca="false">'1 - Service Pricing'!E23</f>
        <v/>
      </c>
      <c r="E20" s="47" t="n">
        <f aca="false">'1 - Service Pricing'!F23</f>
        <v>0</v>
      </c>
      <c r="F20" s="33" t="str">
        <f aca="false">IF(OR(E20="",C20=""),"",E20-C20)</f>
        <v/>
      </c>
      <c r="G20" s="34" t="str">
        <f aca="false">IF(OR(E20="",E20=0),"",F20/E20)</f>
        <v/>
      </c>
      <c r="H20" s="35" t="str">
        <f aca="false">IF(C20="","",IF(E20&lt;C20,"🚨 Below Floor",IF((E20-C20)/E20&lt;0.15,"⚠️ Low Margin","✅ Healthy")))</f>
        <v/>
      </c>
    </row>
    <row r="21" customFormat="false" ht="19.5" hidden="false" customHeight="true" outlineLevel="0" collapsed="false">
      <c r="A21" s="46" t="n">
        <f aca="false">'1 - Service Pricing'!A24</f>
        <v>0</v>
      </c>
      <c r="B21" s="27"/>
      <c r="C21" s="47" t="str">
        <f aca="false">'1 - Service Pricing'!D24</f>
        <v/>
      </c>
      <c r="D21" s="47" t="str">
        <f aca="false">'1 - Service Pricing'!E24</f>
        <v/>
      </c>
      <c r="E21" s="47" t="n">
        <f aca="false">'1 - Service Pricing'!F24</f>
        <v>0</v>
      </c>
      <c r="F21" s="29" t="str">
        <f aca="false">IF(OR(E21="",C21=""),"",E21-C21)</f>
        <v/>
      </c>
      <c r="G21" s="30" t="str">
        <f aca="false">IF(OR(E21="",E21=0),"",F21/E21)</f>
        <v/>
      </c>
      <c r="H21" s="31" t="str">
        <f aca="false">IF(C21="","",IF(E21&lt;C21,"🚨 Below Floor",IF((E21-C21)/E21&lt;0.15,"⚠️ Low Margin","✅ Healthy")))</f>
        <v/>
      </c>
    </row>
    <row r="22" customFormat="false" ht="19.5" hidden="false" customHeight="true" outlineLevel="0" collapsed="false">
      <c r="A22" s="49"/>
      <c r="B22" s="32"/>
      <c r="C22" s="25"/>
      <c r="D22" s="25"/>
      <c r="E22" s="25"/>
      <c r="F22" s="33" t="str">
        <f aca="false">IF(OR(E22="",C22=""),"",E22-C22)</f>
        <v/>
      </c>
      <c r="G22" s="34" t="str">
        <f aca="false">IF(OR(E22="",E22=0),"",F22/E22)</f>
        <v/>
      </c>
      <c r="H22" s="35" t="str">
        <f aca="false">IF(C22="","",IF(E22&lt;C22,"🚨 Below Floor",IF((E22-C22)/E22&lt;0.15,"⚠️ Low Margin","✅ Healthy")))</f>
        <v/>
      </c>
    </row>
    <row r="23" customFormat="false" ht="19.5" hidden="false" customHeight="true" outlineLevel="0" collapsed="false">
      <c r="A23" s="49"/>
      <c r="B23" s="27"/>
      <c r="C23" s="25"/>
      <c r="D23" s="25"/>
      <c r="E23" s="25"/>
      <c r="F23" s="29" t="str">
        <f aca="false">IF(OR(E23="",C23=""),"",E23-C23)</f>
        <v/>
      </c>
      <c r="G23" s="30" t="str">
        <f aca="false">IF(OR(E23="",E23=0),"",F23/E23)</f>
        <v/>
      </c>
      <c r="H23" s="31" t="str">
        <f aca="false">IF(C23="","",IF(E23&lt;C23,"🚨 Below Floor",IF((E23-C23)/E23&lt;0.15,"⚠️ Low Margin","✅ Healthy")))</f>
        <v/>
      </c>
    </row>
    <row r="24" customFormat="false" ht="19.5" hidden="false" customHeight="true" outlineLevel="0" collapsed="false">
      <c r="A24" s="49"/>
      <c r="B24" s="32"/>
      <c r="C24" s="25"/>
      <c r="D24" s="25"/>
      <c r="E24" s="25"/>
      <c r="F24" s="33" t="str">
        <f aca="false">IF(OR(E24="",C24=""),"",E24-C24)</f>
        <v/>
      </c>
      <c r="G24" s="34" t="str">
        <f aca="false">IF(OR(E24="",E24=0),"",F24/E24)</f>
        <v/>
      </c>
      <c r="H24" s="35" t="str">
        <f aca="false">IF(C24="","",IF(E24&lt;C24,"🚨 Below Floor",IF((E24-C24)/E24&lt;0.15,"⚠️ Low Margin","✅ Healthy")))</f>
        <v/>
      </c>
    </row>
    <row r="25" customFormat="false" ht="19.5" hidden="false" customHeight="true" outlineLevel="0" collapsed="false">
      <c r="A25" s="49"/>
      <c r="B25" s="27"/>
      <c r="C25" s="25"/>
      <c r="D25" s="25"/>
      <c r="E25" s="25"/>
      <c r="F25" s="29" t="str">
        <f aca="false">IF(OR(E25="",C25=""),"",E25-C25)</f>
        <v/>
      </c>
      <c r="G25" s="30" t="str">
        <f aca="false">IF(OR(E25="",E25=0),"",F25/E25)</f>
        <v/>
      </c>
      <c r="H25" s="31" t="str">
        <f aca="false">IF(C25="","",IF(E25&lt;C25,"🚨 Below Floor",IF((E25-C25)/E25&lt;0.15,"⚠️ Low Margin","✅ Healthy")))</f>
        <v/>
      </c>
    </row>
    <row r="26" customFormat="false" ht="19.5" hidden="false" customHeight="true" outlineLevel="0" collapsed="false">
      <c r="A26" s="49"/>
      <c r="B26" s="32"/>
      <c r="C26" s="25"/>
      <c r="D26" s="25"/>
      <c r="E26" s="25"/>
      <c r="F26" s="33" t="str">
        <f aca="false">IF(OR(E26="",C26=""),"",E26-C26)</f>
        <v/>
      </c>
      <c r="G26" s="34" t="str">
        <f aca="false">IF(OR(E26="",E26=0),"",F26/E26)</f>
        <v/>
      </c>
      <c r="H26" s="35" t="str">
        <f aca="false">IF(C26="","",IF(E26&lt;C26,"🚨 Below Floor",IF((E26-C26)/E26&lt;0.15,"⚠️ Low Margin","✅ Healthy")))</f>
        <v/>
      </c>
    </row>
    <row r="28" customFormat="false" ht="7.5" hidden="false" customHeight="true" outlineLevel="0" collapsed="false"/>
    <row r="29" customFormat="false" ht="21.75" hidden="false" customHeight="true" outlineLevel="0" collapsed="false">
      <c r="A29" s="12" t="s">
        <v>108</v>
      </c>
      <c r="B29" s="12"/>
      <c r="C29" s="12"/>
      <c r="D29" s="12"/>
      <c r="E29" s="12"/>
      <c r="F29" s="12"/>
      <c r="G29" s="12"/>
      <c r="H29" s="12"/>
    </row>
    <row r="30" customFormat="false" ht="19.5" hidden="false" customHeight="true" outlineLevel="0" collapsed="false">
      <c r="A30" s="10" t="s">
        <v>109</v>
      </c>
      <c r="B30" s="10"/>
      <c r="C30" s="50" t="n">
        <f aca="false">COUNTA(A7:A26)</f>
        <v>15</v>
      </c>
      <c r="D30" s="50"/>
      <c r="E30" s="50"/>
      <c r="F30" s="50"/>
      <c r="G30" s="50"/>
      <c r="H30" s="50"/>
    </row>
    <row r="31" customFormat="false" ht="19.5" hidden="false" customHeight="true" outlineLevel="0" collapsed="false">
      <c r="A31" s="7" t="s">
        <v>110</v>
      </c>
      <c r="B31" s="7"/>
      <c r="C31" s="51" t="n">
        <f aca="false">COUNTIF(H7:H26,"*Below Floor*")</f>
        <v>9</v>
      </c>
      <c r="D31" s="51"/>
      <c r="E31" s="51"/>
      <c r="F31" s="51"/>
      <c r="G31" s="51"/>
      <c r="H31" s="51"/>
    </row>
    <row r="32" customFormat="false" ht="19.5" hidden="false" customHeight="true" outlineLevel="0" collapsed="false">
      <c r="A32" s="10" t="s">
        <v>111</v>
      </c>
      <c r="B32" s="10"/>
      <c r="C32" s="50" t="n">
        <f aca="false">COUNTIF(H7:H26,"*Low Margin*")</f>
        <v>1</v>
      </c>
      <c r="D32" s="50"/>
      <c r="E32" s="50"/>
      <c r="F32" s="50"/>
      <c r="G32" s="50"/>
      <c r="H32" s="50"/>
    </row>
    <row r="33" customFormat="false" ht="19.5" hidden="false" customHeight="true" outlineLevel="0" collapsed="false">
      <c r="A33" s="7" t="s">
        <v>112</v>
      </c>
      <c r="B33" s="7"/>
      <c r="C33" s="51" t="n">
        <f aca="false">COUNTIF(H7:H26,"*Healthy*")</f>
        <v>0</v>
      </c>
      <c r="D33" s="51"/>
      <c r="E33" s="51"/>
      <c r="F33" s="51"/>
      <c r="G33" s="51"/>
      <c r="H33" s="51"/>
    </row>
    <row r="34" customFormat="false" ht="19.5" hidden="false" customHeight="true" outlineLevel="0" collapsed="false">
      <c r="A34" s="10" t="s">
        <v>113</v>
      </c>
      <c r="B34" s="10"/>
      <c r="C34" s="52" t="n">
        <f aca="false">IFERROR(AVERAGEIF(E7:E26,"&gt;0",E7:E26),"-")</f>
        <v>146</v>
      </c>
      <c r="D34" s="52"/>
      <c r="E34" s="52"/>
      <c r="F34" s="52"/>
      <c r="G34" s="52"/>
      <c r="H34" s="52"/>
    </row>
    <row r="35" customFormat="false" ht="19.5" hidden="false" customHeight="true" outlineLevel="0" collapsed="false">
      <c r="A35" s="7" t="s">
        <v>69</v>
      </c>
      <c r="B35" s="7"/>
      <c r="C35" s="53" t="n">
        <f aca="false">IFERROR(AVERAGEIF(G7:G26,"&lt;&gt;",G7:G26),"-")</f>
        <v>-0.0379126984126984</v>
      </c>
      <c r="D35" s="53"/>
      <c r="E35" s="53"/>
      <c r="F35" s="53"/>
      <c r="G35" s="53"/>
      <c r="H35" s="53"/>
    </row>
    <row r="36" customFormat="false" ht="19.5" hidden="false" customHeight="true" outlineLevel="0" collapsed="false">
      <c r="A36" s="10" t="s">
        <v>114</v>
      </c>
      <c r="B36" s="10"/>
      <c r="C36" s="54" t="str">
        <f aca="false">IFERROR(INDEX(A7:A26,MATCH(MAX(G7:G26),G7:G26,0)),"-")</f>
        <v>Blowout</v>
      </c>
      <c r="D36" s="54"/>
      <c r="E36" s="54"/>
      <c r="F36" s="54"/>
      <c r="G36" s="54"/>
      <c r="H36" s="54"/>
    </row>
    <row r="37" customFormat="false" ht="19.5" hidden="false" customHeight="true" outlineLevel="0" collapsed="false">
      <c r="A37" s="7" t="s">
        <v>115</v>
      </c>
      <c r="B37" s="7"/>
      <c r="C37" s="55" t="str">
        <f aca="false">IFERROR(INDEX(A7:A26,MATCH(MIN(IF(G7:G26&lt;&gt;"",G7:G26)),G7:G26,0)),"-")</f>
        <v>-</v>
      </c>
      <c r="D37" s="55"/>
      <c r="E37" s="55"/>
      <c r="F37" s="55"/>
      <c r="G37" s="55"/>
      <c r="H37" s="55"/>
    </row>
  </sheetData>
  <mergeCells count="21">
    <mergeCell ref="A1:H1"/>
    <mergeCell ref="A2:H2"/>
    <mergeCell ref="A3:H3"/>
    <mergeCell ref="A5:H5"/>
    <mergeCell ref="A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7:B37"/>
    <mergeCell ref="C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5" hidden="false" customHeight="true" outlineLevel="0" collapsed="false">
      <c r="A1" s="22" t="s">
        <v>0</v>
      </c>
      <c r="B1" s="22"/>
      <c r="C1" s="22"/>
      <c r="D1" s="22"/>
    </row>
    <row r="2" customFormat="false" ht="27.75" hidden="false" customHeight="true" outlineLevel="0" collapsed="false">
      <c r="A2" s="23" t="s">
        <v>116</v>
      </c>
      <c r="B2" s="23"/>
      <c r="C2" s="23"/>
      <c r="D2" s="23"/>
    </row>
    <row r="3" customFormat="false" ht="15" hidden="false" customHeight="true" outlineLevel="0" collapsed="false">
      <c r="A3" s="24" t="s">
        <v>117</v>
      </c>
      <c r="B3" s="24"/>
      <c r="C3" s="24"/>
      <c r="D3" s="24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118</v>
      </c>
      <c r="B5" s="4"/>
      <c r="C5" s="4"/>
      <c r="D5" s="4"/>
    </row>
    <row r="6" customFormat="false" ht="21.75" hidden="false" customHeight="true" outlineLevel="0" collapsed="false">
      <c r="A6" s="7" t="s">
        <v>119</v>
      </c>
      <c r="B6" s="56" t="n">
        <v>5000</v>
      </c>
      <c r="C6" s="57"/>
      <c r="D6" s="57"/>
    </row>
    <row r="7" customFormat="false" ht="21.75" hidden="false" customHeight="true" outlineLevel="0" collapsed="false">
      <c r="A7" s="10" t="s">
        <v>120</v>
      </c>
      <c r="B7" s="58" t="n">
        <f aca="false">'2 - Break-Even Tracker'!B17</f>
        <v>1463</v>
      </c>
      <c r="C7" s="59"/>
      <c r="D7" s="59"/>
    </row>
    <row r="8" customFormat="false" ht="21.75" hidden="false" customHeight="true" outlineLevel="0" collapsed="false">
      <c r="A8" s="60" t="s">
        <v>121</v>
      </c>
      <c r="B8" s="42" t="n">
        <f aca="false">B6+B7</f>
        <v>6463</v>
      </c>
      <c r="C8" s="61"/>
      <c r="D8" s="61"/>
    </row>
    <row r="9" customFormat="false" ht="6" hidden="false" customHeight="true" outlineLevel="0" collapsed="false"/>
    <row r="10" customFormat="false" ht="21.75" hidden="false" customHeight="true" outlineLevel="0" collapsed="false">
      <c r="A10" s="4" t="s">
        <v>122</v>
      </c>
      <c r="B10" s="4"/>
      <c r="C10" s="4"/>
      <c r="D10" s="4"/>
    </row>
    <row r="11" customFormat="false" ht="21.75" hidden="false" customHeight="true" outlineLevel="0" collapsed="false">
      <c r="A11" s="7" t="s">
        <v>123</v>
      </c>
      <c r="B11" s="28" t="n">
        <v>4</v>
      </c>
      <c r="C11" s="57"/>
      <c r="D11" s="57"/>
    </row>
    <row r="12" customFormat="false" ht="21.75" hidden="false" customHeight="true" outlineLevel="0" collapsed="false">
      <c r="A12" s="10" t="s">
        <v>124</v>
      </c>
      <c r="B12" s="62" t="n">
        <v>7</v>
      </c>
      <c r="C12" s="59"/>
      <c r="D12" s="59"/>
    </row>
    <row r="13" customFormat="false" ht="21.75" hidden="false" customHeight="true" outlineLevel="0" collapsed="false">
      <c r="A13" s="7" t="s">
        <v>125</v>
      </c>
      <c r="B13" s="28" t="n">
        <v>75</v>
      </c>
      <c r="C13" s="57"/>
      <c r="D13" s="57"/>
    </row>
    <row r="14" customFormat="false" ht="21.75" hidden="false" customHeight="true" outlineLevel="0" collapsed="false">
      <c r="A14" s="10" t="s">
        <v>86</v>
      </c>
      <c r="B14" s="56" t="n">
        <v>120</v>
      </c>
      <c r="C14" s="59"/>
      <c r="D14" s="59"/>
    </row>
    <row r="15" customFormat="false" ht="6" hidden="false" customHeight="true" outlineLevel="0" collapsed="false"/>
    <row r="16" customFormat="false" ht="21.75" hidden="false" customHeight="true" outlineLevel="0" collapsed="false">
      <c r="A16" s="12" t="s">
        <v>126</v>
      </c>
      <c r="B16" s="12"/>
      <c r="C16" s="12"/>
      <c r="D16" s="12"/>
    </row>
    <row r="17" customFormat="false" ht="21.75" hidden="false" customHeight="true" outlineLevel="0" collapsed="false">
      <c r="A17" s="10" t="s">
        <v>127</v>
      </c>
      <c r="B17" s="36" t="n">
        <f aca="false">FLOOR(B12*60/B13,1)*B11*4</f>
        <v>80</v>
      </c>
      <c r="C17" s="59"/>
      <c r="D17" s="59"/>
    </row>
    <row r="18" customFormat="false" ht="21.75" hidden="false" customHeight="true" outlineLevel="0" collapsed="false">
      <c r="A18" s="7" t="s">
        <v>128</v>
      </c>
      <c r="B18" s="44" t="n">
        <f aca="false">B17*B14</f>
        <v>9600</v>
      </c>
      <c r="C18" s="57"/>
      <c r="D18" s="57"/>
    </row>
    <row r="19" customFormat="false" ht="21.75" hidden="false" customHeight="true" outlineLevel="0" collapsed="false">
      <c r="A19" s="10" t="s">
        <v>129</v>
      </c>
      <c r="B19" s="36" t="n">
        <f aca="false">CEILING(B8/B14,1)</f>
        <v>54</v>
      </c>
      <c r="C19" s="59"/>
      <c r="D19" s="59"/>
    </row>
    <row r="20" customFormat="false" ht="21.75" hidden="false" customHeight="true" outlineLevel="0" collapsed="false">
      <c r="A20" s="7" t="s">
        <v>130</v>
      </c>
      <c r="B20" s="37" t="n">
        <f aca="false">CEILING(B19/4,1)</f>
        <v>14</v>
      </c>
      <c r="C20" s="57"/>
      <c r="D20" s="57"/>
    </row>
    <row r="21" customFormat="false" ht="21.75" hidden="false" customHeight="true" outlineLevel="0" collapsed="false">
      <c r="A21" s="10" t="s">
        <v>131</v>
      </c>
      <c r="B21" s="36" t="n">
        <f aca="false">CEILING(B20/B11,1)</f>
        <v>4</v>
      </c>
      <c r="C21" s="59"/>
      <c r="D21" s="59"/>
    </row>
    <row r="22" customFormat="false" ht="21.75" hidden="false" customHeight="true" outlineLevel="0" collapsed="false">
      <c r="A22" s="7" t="s">
        <v>132</v>
      </c>
      <c r="B22" s="30" t="n">
        <f aca="false">IFERROR(B19/B17,"-")</f>
        <v>0.675</v>
      </c>
      <c r="C22" s="57"/>
      <c r="D22" s="57"/>
    </row>
    <row r="23" customFormat="false" ht="21.75" hidden="false" customHeight="true" outlineLevel="0" collapsed="false">
      <c r="A23" s="10" t="s">
        <v>133</v>
      </c>
      <c r="B23" s="45" t="n">
        <f aca="false">B8/(B11*4)</f>
        <v>403.9375</v>
      </c>
      <c r="C23" s="59"/>
      <c r="D23" s="59"/>
    </row>
    <row r="24" customFormat="false" ht="21.75" hidden="false" customHeight="true" outlineLevel="0" collapsed="false">
      <c r="A24" s="7" t="s">
        <v>134</v>
      </c>
      <c r="B24" s="44" t="n">
        <f aca="false">B8/4</f>
        <v>1615.75</v>
      </c>
      <c r="C24" s="57"/>
      <c r="D24" s="57"/>
    </row>
    <row r="25" customFormat="false" ht="6" hidden="false" customHeight="true" outlineLevel="0" collapsed="false"/>
    <row r="26" customFormat="false" ht="21.75" hidden="false" customHeight="true" outlineLevel="0" collapsed="false">
      <c r="A26" s="4" t="s">
        <v>135</v>
      </c>
      <c r="B26" s="4"/>
      <c r="C26" s="4"/>
      <c r="D26" s="4"/>
    </row>
    <row r="27" customFormat="false" ht="21.75" hidden="false" customHeight="true" outlineLevel="0" collapsed="false">
      <c r="A27" s="5" t="s">
        <v>136</v>
      </c>
      <c r="B27" s="5" t="s">
        <v>137</v>
      </c>
      <c r="C27" s="5" t="s">
        <v>138</v>
      </c>
      <c r="D27" s="5" t="s">
        <v>139</v>
      </c>
    </row>
    <row r="28" customFormat="false" ht="21.75" hidden="false" customHeight="true" outlineLevel="0" collapsed="false">
      <c r="A28" s="7" t="s">
        <v>140</v>
      </c>
      <c r="B28" s="29" t="n">
        <f aca="false">B14</f>
        <v>120</v>
      </c>
      <c r="C28" s="29" t="n">
        <f aca="false">IFERROR(B8/B19,"-")</f>
        <v>119.685185185185</v>
      </c>
      <c r="D28" s="29" t="n">
        <f aca="false">IFERROR(C28-B28,"-")</f>
        <v>-0.31481481481481</v>
      </c>
    </row>
    <row r="29" customFormat="false" ht="21.75" hidden="false" customHeight="true" outlineLevel="0" collapsed="false">
      <c r="A29" s="10" t="s">
        <v>141</v>
      </c>
      <c r="B29" s="36" t="n">
        <f aca="false">B11*4*FLOOR(B12*60/B13,1)*0.75</f>
        <v>60</v>
      </c>
      <c r="C29" s="36" t="n">
        <f aca="false">B19</f>
        <v>54</v>
      </c>
      <c r="D29" s="36" t="n">
        <f aca="false">IFERROR(C29-B29,"-")</f>
        <v>-6</v>
      </c>
    </row>
    <row r="30" customFormat="false" ht="21.75" hidden="false" customHeight="true" outlineLevel="0" collapsed="false">
      <c r="A30" s="7" t="s">
        <v>123</v>
      </c>
      <c r="B30" s="63" t="n">
        <f aca="false">B11</f>
        <v>4</v>
      </c>
      <c r="C30" s="63" t="n">
        <f aca="false">IFERROR(CEILING(B19/FLOOR(B12*60/B13,1)/4,0.5),"-")</f>
        <v>3</v>
      </c>
      <c r="D30" s="63" t="n">
        <f aca="false">IFERROR(C30-B30,"-")</f>
        <v>-1</v>
      </c>
    </row>
  </sheetData>
  <mergeCells count="22">
    <mergeCell ref="A1:D1"/>
    <mergeCell ref="A2:D2"/>
    <mergeCell ref="A3:D3"/>
    <mergeCell ref="A5:D5"/>
    <mergeCell ref="C6:D6"/>
    <mergeCell ref="C7:D7"/>
    <mergeCell ref="C8:D8"/>
    <mergeCell ref="A10:D10"/>
    <mergeCell ref="C11:D11"/>
    <mergeCell ref="C12:D12"/>
    <mergeCell ref="C13:D13"/>
    <mergeCell ref="C14:D14"/>
    <mergeCell ref="A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2026-05-14T18:05:28Z</dcterms:created>
  <dc:creator>openpyxl</dc:creator>
  <dc:description/>
  <dc:language>en-US</dc:language>
  <cp:lastModifiedBy/>
  <dcterms:modified xsi:type="dcterms:W3CDTF">2026-05-14T18:05:28Z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